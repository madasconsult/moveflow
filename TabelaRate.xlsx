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elmalta/Library/CloudStorage/OneDrive-Pessoal/FAUS/Rate Faus/Padrao/"/>
    </mc:Choice>
  </mc:AlternateContent>
  <xr:revisionPtr revIDLastSave="0" documentId="13_ncr:1_{3727776A-F0C5-1547-B56A-6381BDC76AC3}" xr6:coauthVersionLast="47" xr6:coauthVersionMax="47" xr10:uidLastSave="{00000000-0000-0000-0000-000000000000}"/>
  <bookViews>
    <workbookView xWindow="1060" yWindow="600" windowWidth="27440" windowHeight="13960" activeTab="2" xr2:uid="{FE5DFC70-D1D5-5343-90E8-67884173A370}"/>
  </bookViews>
  <sheets>
    <sheet name="Base" sheetId="1" r:id="rId1"/>
    <sheet name="Rate Geral" sheetId="5" r:id="rId2"/>
    <sheet name="Distribuidor" sheetId="2" r:id="rId3"/>
    <sheet name="Industria" sheetId="3" state="hidden" r:id="rId4"/>
    <sheet name="OperadorLogistico" sheetId="4" state="hidden" r:id="rId5"/>
  </sheets>
  <definedNames>
    <definedName name="_xlnm.Print_Area" localSheetId="2">Distribuidor!$A$1:$H$42</definedName>
    <definedName name="_xlnm.Print_Area" localSheetId="1">'Rate Geral'!$A$1:$Q$86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2" i="2"/>
  <c r="G2" i="2" s="1"/>
  <c r="E2" i="1"/>
  <c r="F2" i="1"/>
  <c r="G2" i="1"/>
  <c r="H2" i="1"/>
  <c r="E3" i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H42" i="2" l="1"/>
  <c r="H36" i="2"/>
  <c r="H34" i="2"/>
  <c r="H35" i="2"/>
  <c r="H33" i="2"/>
  <c r="H37" i="2"/>
  <c r="H27" i="2"/>
  <c r="H24" i="2"/>
  <c r="H23" i="2"/>
  <c r="H16" i="2"/>
  <c r="H8" i="2"/>
  <c r="H11" i="2"/>
  <c r="H12" i="2"/>
  <c r="H13" i="2"/>
  <c r="H15" i="2"/>
  <c r="H14" i="2"/>
  <c r="H22" i="2"/>
  <c r="H21" i="2"/>
  <c r="H28" i="2"/>
  <c r="H39" i="2"/>
  <c r="H19" i="2"/>
  <c r="H38" i="2"/>
  <c r="H26" i="2"/>
  <c r="H18" i="2"/>
  <c r="H10" i="2"/>
  <c r="H41" i="2"/>
  <c r="H40" i="2"/>
  <c r="H25" i="2"/>
  <c r="H17" i="2"/>
  <c r="H9" i="2"/>
  <c r="H20" i="2"/>
  <c r="H3" i="2"/>
  <c r="H6" i="2"/>
  <c r="H5" i="2"/>
  <c r="H2" i="2"/>
  <c r="H7" i="2"/>
  <c r="H4" i="2"/>
  <c r="H29" i="2"/>
  <c r="D18" i="5"/>
  <c r="H30" i="2"/>
  <c r="H31" i="2"/>
  <c r="H32" i="2"/>
  <c r="E18" i="5" l="1"/>
  <c r="F18" i="5" s="1"/>
  <c r="D16" i="5"/>
  <c r="D11" i="5"/>
  <c r="D13" i="5"/>
  <c r="D14" i="5"/>
  <c r="D12" i="5"/>
  <c r="D17" i="5"/>
  <c r="D10" i="5"/>
  <c r="D15" i="5"/>
</calcChain>
</file>

<file path=xl/sharedStrings.xml><?xml version="1.0" encoding="utf-8"?>
<sst xmlns="http://schemas.openxmlformats.org/spreadsheetml/2006/main" count="741" uniqueCount="321">
  <si>
    <t>Eixo</t>
  </si>
  <si>
    <t>Critério</t>
  </si>
  <si>
    <t>Descrição</t>
  </si>
  <si>
    <t>Processos</t>
  </si>
  <si>
    <t>Mapeamento de processos</t>
  </si>
  <si>
    <t>Existência, detalhamento, atualização</t>
  </si>
  <si>
    <t>Não existem processos mapeados. A operação funciona com base em conhecimento tácito, experiência individual e improviso.</t>
  </si>
  <si>
    <t>Existem mapeamentos pontuais ou informais, incompletos e que não refletem fielmente a prática operacional.</t>
  </si>
  <si>
    <t>Processos mapeados, porém com baixo detalhamento, desatualizados ou pouco utilizados.</t>
  </si>
  <si>
    <t>Processos mapeados, detalhados, atualizados e utilizados como referência operacional.</t>
  </si>
  <si>
    <t>Mapeamento completo, governado, integrado à gestão e utilizado como base oficial da operação.</t>
  </si>
  <si>
    <t>Padronização</t>
  </si>
  <si>
    <t>Documentação e uso real</t>
  </si>
  <si>
    <t>Inexistência de padrões formais. Execução varia conforme pessoas e turnos.</t>
  </si>
  <si>
    <t>Padrões informais ou pouco difundidos, sem uso consistente.</t>
  </si>
  <si>
    <t>Padrões documentados, porém com baixa aderência na prática.</t>
  </si>
  <si>
    <t>Padrões claros, documentados e utilizados regularmente na operação.</t>
  </si>
  <si>
    <t>Padronização madura, integrada à cultura e continuamente aprimorada.</t>
  </si>
  <si>
    <t>Trabalho padronizado</t>
  </si>
  <si>
    <t>Rotinas claras</t>
  </si>
  <si>
    <t>Ausência de rotinas claras. Execução altamente variável.</t>
  </si>
  <si>
    <t>Rotinas implícitas ou verbais, dependentes da experiência individual.</t>
  </si>
  <si>
    <t>Rotinas definidas, porém seguidas de forma inconsistente.</t>
  </si>
  <si>
    <t>Rotinas claras, padronizadas e seguidas de forma disciplinada.</t>
  </si>
  <si>
    <t>Trabalho padronizado robusto, base da produtividade e melhoria contínua.</t>
  </si>
  <si>
    <t>Controles operacionais</t>
  </si>
  <si>
    <t>Checklists, auditorias</t>
  </si>
  <si>
    <t>Inexistência de controles formais.</t>
  </si>
  <si>
    <t>Controles pontuais e informais, sem método.</t>
  </si>
  <si>
    <t>Controles definidos, porém aplicados de forma irregular.</t>
  </si>
  <si>
    <t>Checklists e auditorias aplicados regularmente para correção de desvios.</t>
  </si>
  <si>
    <t>Controles sistemáticos, gerando aprendizado e prevenção de falhas.</t>
  </si>
  <si>
    <t>Aderência ao processo</t>
  </si>
  <si>
    <t>Execução real vs. processo</t>
  </si>
  <si>
    <t>Execução não aderente aos processos definidos.</t>
  </si>
  <si>
    <t>Aderência parcial, com desvios frequentes.</t>
  </si>
  <si>
    <t>Aderência majoritária, porém instável.</t>
  </si>
  <si>
    <t>Alta aderência, com tratamento estruturado de desvios.</t>
  </si>
  <si>
    <t>Aderência plena e disciplinada entre processo e execução.</t>
  </si>
  <si>
    <t>Medição de desempenho</t>
  </si>
  <si>
    <t>Medição contínua de resultados</t>
  </si>
  <si>
    <t>Inexistência de indicadores de processo.</t>
  </si>
  <si>
    <t>Medições pontuais e reativas.</t>
  </si>
  <si>
    <t>Indicadores definidos, porém pouco utilizados.</t>
  </si>
  <si>
    <t>Medição contínua orientando decisões e melhorias.</t>
  </si>
  <si>
    <t>Medição integrada à gestão e ciclos de melhoria contínua.</t>
  </si>
  <si>
    <t>Operação</t>
  </si>
  <si>
    <t>Slotting e layout</t>
  </si>
  <si>
    <t>Otimização do espaço e fluxo de produtos</t>
  </si>
  <si>
    <t>Não existe lógica definida de slotting ou layout. O armazenamento ocorre de forma aleatória, gerando deslocamentos excessivos, congestionamentos e baixa produtividade.</t>
  </si>
  <si>
    <t>Existe alguma lógica básica de layout, porém sem critérios claros de giro, peso ou frequência. O fluxo ainda é ineficiente e reativo.</t>
  </si>
  <si>
    <t>O layout e o slotting estão definidos, porém com limitações. A organização reduz alguns desperdícios, mas não é revisada com frequência.</t>
  </si>
  <si>
    <t>Layout e slotting estruturados, considerando giro, peso e fluxo. Reduz deslocamentos, melhora produtividade e é revisado periodicamente.</t>
  </si>
  <si>
    <t>Layout e slotting altamente otimizados, baseados em dados, revisados continuamente e alinhados à estratégia operacional.</t>
  </si>
  <si>
    <t>Acuracidade de inventário</t>
  </si>
  <si>
    <t>Processos de contagem e verificação</t>
  </si>
  <si>
    <t>Não existem processos formais de inventário. As informações de estoque são pouco confiáveis.</t>
  </si>
  <si>
    <t>Existem contagens pontuais ou inventários esporádicos, com alto índice de divergência.</t>
  </si>
  <si>
    <t>Inventários e contagens cíclicas definidos, porém com resultados instáveis e ações corretivas limitadas.</t>
  </si>
  <si>
    <t>Processos de contagem estruturados, com boa acuracidade e tratamento sistemático de divergências.</t>
  </si>
  <si>
    <t>Acuracidade elevada e estável, com inventário confiável e integrado à gestão e decisão.</t>
  </si>
  <si>
    <t>Produtividade no picking</t>
  </si>
  <si>
    <t>Eficiência na separação de pedidos</t>
  </si>
  <si>
    <t>Não existe medição de produtividade. O picking depende de esforço individual.</t>
  </si>
  <si>
    <t>A produtividade é percebida de forma empírica, sem metas ou controle estruturado.</t>
  </si>
  <si>
    <t>A produtividade é medida, porém com uso limitado e grande variabilidade entre turnos.</t>
  </si>
  <si>
    <t>Produtividade acompanhada com indicadores, metas claras e ações de melhoria.</t>
  </si>
  <si>
    <t>Alta produtividade estável, com métodos otimizados, padronização e melhoria contínua.</t>
  </si>
  <si>
    <t>Lead times operacionais</t>
  </si>
  <si>
    <t>Tempo entre etapas do processo</t>
  </si>
  <si>
    <t>Não existe controle de tempos entre etapas. O processo é imprevisível.</t>
  </si>
  <si>
    <t>Existem estimativas informais de tempo, sem medição consistente.</t>
  </si>
  <si>
    <t>Lead times medidos, porém com alta variabilidade e pouca gestão sobre desvios.</t>
  </si>
  <si>
    <t>Lead times controlados, com metas, monitoramento e redução de gargalos.</t>
  </si>
  <si>
    <t>Lead times previsíveis, estáveis e continuamente otimizados.</t>
  </si>
  <si>
    <t>Controle de qualidade</t>
  </si>
  <si>
    <t>Acuracidade na separação e conferência</t>
  </si>
  <si>
    <t>Não existem controles formais de qualidade. Erros são frequentes.</t>
  </si>
  <si>
    <t>Controles pontuais ou reativos após reclamações.</t>
  </si>
  <si>
    <t>Controles definidos, porém com falhas recorrentes e ações pouco estruturadas.</t>
  </si>
  <si>
    <t>Controles eficazes, com redução consistente de erros e ações corretivas.</t>
  </si>
  <si>
    <t>Qualidade elevada e estável, com erros raros e aprendizado contínuo.</t>
  </si>
  <si>
    <t>Gestão de falhas e exceções</t>
  </si>
  <si>
    <t>Tratamento de falhas operacionais</t>
  </si>
  <si>
    <t>Falhas são tratadas apenas de forma emergencial, sem análise estruturada.</t>
  </si>
  <si>
    <t>Existe reação às falhas, porém sem registro ou aprendizado.</t>
  </si>
  <si>
    <t>Falhas registradas, mas com análise superficial e repetição recorrente.</t>
  </si>
  <si>
    <t>Falhas tratadas com método, análise de causa e ações corretivas.</t>
  </si>
  <si>
    <t>Gestão madura de exceções, com prevenção, aprendizado e melhoria sistêmica.</t>
  </si>
  <si>
    <t>Tecnologia</t>
  </si>
  <si>
    <t>Integração de sistemas</t>
  </si>
  <si>
    <t>Conectividade entre ERP, WMS e TMS</t>
  </si>
  <si>
    <t>Sistemas não integrados. Informações fragmentadas e controles manuais paralelos.</t>
  </si>
  <si>
    <t>Integração pontual ou parcial entre sistemas, com falhas frequentes.</t>
  </si>
  <si>
    <t>Sistemas integrados em partes críticas, porém com dependência de planilhas.</t>
  </si>
  <si>
    <t>Integração consistente entre ERP, WMS e TMS, com dados confiáveis.</t>
  </si>
  <si>
    <t>Integração total, dados em tempo quase real e suporte pleno à decisão.</t>
  </si>
  <si>
    <t>Sistemas de rastreamento</t>
  </si>
  <si>
    <t>Telemetria e rastreadores</t>
  </si>
  <si>
    <t>Não há rastreamento estruturado de veículos ou cargas.</t>
  </si>
  <si>
    <t>Rastreamento limitado, com baixa confiabilidade ou uso esporádico.</t>
  </si>
  <si>
    <t>Rastreamento ativo, porém pouco integrado à gestão.</t>
  </si>
  <si>
    <t>Rastreamento confiável, integrado à operação e gestão de ocorrências.</t>
  </si>
  <si>
    <t>Rastreamento avançado, com análise de dados e prevenção de falhas.</t>
  </si>
  <si>
    <t>Automação de processos</t>
  </si>
  <si>
    <t>Automação para produtividade</t>
  </si>
  <si>
    <t>Processos totalmente manuais e dependentes de esforço humano.</t>
  </si>
  <si>
    <t>Automação pontual, sem impacto relevante na produtividade.</t>
  </si>
  <si>
    <t>Automação em etapas-chave, porém com limitações.</t>
  </si>
  <si>
    <t>Automação consistente, reduzindo erros e aumentando eficiência.</t>
  </si>
  <si>
    <t>Automação avançada, integrada e orientada por dados.</t>
  </si>
  <si>
    <t>Dashboards e relatórios</t>
  </si>
  <si>
    <t>Visualização em tempo real</t>
  </si>
  <si>
    <t>Ausência de dashboards. Informações dispersas e tardias.</t>
  </si>
  <si>
    <t>Relatórios manuais, pouco frequentes e pouco confiáveis.</t>
  </si>
  <si>
    <t>Dashboards existentes, porém com uso restrito.</t>
  </si>
  <si>
    <t>Dashboards confiáveis, atualizados e utilizados na gestão.</t>
  </si>
  <si>
    <t>Visualização em tempo real integrada à tomada de decisão.</t>
  </si>
  <si>
    <t>Big Data e análise preditiva</t>
  </si>
  <si>
    <t>Previsão de tendências e riscos</t>
  </si>
  <si>
    <t>Não existe uso analítico dos dados.</t>
  </si>
  <si>
    <t>Uso básico e descritivo de dados históricos.</t>
  </si>
  <si>
    <t>Análises exploratórias pontuais.</t>
  </si>
  <si>
    <t>Uso analítico para antecipar problemas e tendências.</t>
  </si>
  <si>
    <t>Análise preditiva madura, integrada à estratégia.</t>
  </si>
  <si>
    <t>Gestão</t>
  </si>
  <si>
    <t>Planejamento estratégico</t>
  </si>
  <si>
    <t>Gestão de recursos e visão de longo prazo</t>
  </si>
  <si>
    <t>Inexistência de planejamento estratégico. Decisões reativas e de curto prazo.</t>
  </si>
  <si>
    <t>Planejamento informal, pouco documentado e sem desdobramento claro.</t>
  </si>
  <si>
    <t>Planejamento definido, porém pouco conectado à operação.</t>
  </si>
  <si>
    <t>Planejamento estruturado, com metas, recursos e acompanhamento.</t>
  </si>
  <si>
    <t>Planejamento estratégico robusto, integrado à operação e revisado continuamente.</t>
  </si>
  <si>
    <t>KPIs e métricas</t>
  </si>
  <si>
    <t>Indicadores estratégicos e operacionais</t>
  </si>
  <si>
    <t>Inexistência de indicadores formais.</t>
  </si>
  <si>
    <t>Indicadores pontuais, pouco confiáveis ou pouco utilizados.</t>
  </si>
  <si>
    <t>Indicadores definidos, porém com uso restrito.</t>
  </si>
  <si>
    <t>Indicadores confiáveis, utilizados regularmente na gestão.</t>
  </si>
  <si>
    <t>KPIs integrados à tomada de decisão estratégica e operacional.</t>
  </si>
  <si>
    <t>Gestão de equipes</t>
  </si>
  <si>
    <t>Liderança e desenvolvimento</t>
  </si>
  <si>
    <t>Gestão baseada apenas em cobrança e esforço individual.</t>
  </si>
  <si>
    <t>Liderança informal, com pouco desenvolvimento estruturado.</t>
  </si>
  <si>
    <t>Gestão estruturada, porém com desenvolvimento limitado.</t>
  </si>
  <si>
    <t>Liderança ativa, com acompanhamento e desenvolvimento contínuo.</t>
  </si>
  <si>
    <t>Times de alta performance, engajados e desenvolvidos.</t>
  </si>
  <si>
    <t>PDCA e melhoria contínua</t>
  </si>
  <si>
    <t>Ciclos estruturados de melhoria</t>
  </si>
  <si>
    <t>Inexistência de método de melhoria.</t>
  </si>
  <si>
    <t>Ações corretivas pontuais e reativas.</t>
  </si>
  <si>
    <t>Uso ocasional do PDCA, sem disciplina.</t>
  </si>
  <si>
    <t>PDCA aplicado de forma estruturada e recorrente.</t>
  </si>
  <si>
    <t>Cultura de melhoria contínua madura e disciplinada.</t>
  </si>
  <si>
    <t>Gestão visual e comunicação</t>
  </si>
  <si>
    <t>Comunicação e acompanhamento</t>
  </si>
  <si>
    <t>Comunicação desestruturada e pouco clara.</t>
  </si>
  <si>
    <t>Informações compartilhadas de forma informal.</t>
  </si>
  <si>
    <t>Gestão visual existente, porém pouco utilizada.</t>
  </si>
  <si>
    <t>Gestão visual clara, utilizada no acompanhamento.</t>
  </si>
  <si>
    <t>Comunicação visual integrada à rotina e decisões.</t>
  </si>
  <si>
    <t>Gestão de riscos</t>
  </si>
  <si>
    <t>Riscos operacionais e financeiros</t>
  </si>
  <si>
    <t>Inexistência de gestão de riscos.</t>
  </si>
  <si>
    <t>Riscos conhecidos, mas não tratados sistematicamente.</t>
  </si>
  <si>
    <t>Gestão de riscos parcial e reativa.</t>
  </si>
  <si>
    <t>Riscos mapeados, monitorados e mitigados.</t>
  </si>
  <si>
    <t>Gestão de riscos madura, integrada à estratégia.</t>
  </si>
  <si>
    <t>Cultura</t>
  </si>
  <si>
    <t>Responsabilidade e accountability</t>
  </si>
  <si>
    <t>Assunção de responsabilidades</t>
  </si>
  <si>
    <t>Não há clareza de responsabilidades. Erros são recorrentes e não assumidos.</t>
  </si>
  <si>
    <t>Responsabilidades pouco claras, com transferência frequente de culpa.</t>
  </si>
  <si>
    <t>Responsabilidades definidas, porém com baixa cobrança e acompanhamento.</t>
  </si>
  <si>
    <t>Responsabilidades claras, com cobrança estruturada e comprometimento.</t>
  </si>
  <si>
    <t>Alta accountability, com forte senso de dono e foco em resultados.</t>
  </si>
  <si>
    <t>Disciplina operacional</t>
  </si>
  <si>
    <t>Aderência a rotinas</t>
  </si>
  <si>
    <t>Ausência de disciplina. Rotinas não são seguidas.</t>
  </si>
  <si>
    <t>Disciplina pontual, dependente de cobrança direta.</t>
  </si>
  <si>
    <t>Rotinas definidas, porém com aderência instável.</t>
  </si>
  <si>
    <t>Disciplina consistente, com rotinas seguidas regularmente.</t>
  </si>
  <si>
    <t>Disciplina elevada, incorporada à cultura e sustentada no tempo.</t>
  </si>
  <si>
    <t>Abertura à inovação</t>
  </si>
  <si>
    <t>Adoção de melhorias</t>
  </si>
  <si>
    <t>Resistência a mudanças e melhorias.</t>
  </si>
  <si>
    <t>Abertura limitada, com adoção lenta de melhorias.</t>
  </si>
  <si>
    <t>Melhorias aceitas pontualmente, sem método estruturado.</t>
  </si>
  <si>
    <t>Abertura consistente a melhorias e inovações.</t>
  </si>
  <si>
    <t>Cultura inovadora, com melhoria contínua incorporada.</t>
  </si>
  <si>
    <t>Gestão do tempo</t>
  </si>
  <si>
    <t>Uso eficiente do tempo</t>
  </si>
  <si>
    <t>Uso ineficiente do tempo, com atrasos frequentes.</t>
  </si>
  <si>
    <t>Gestão de tempo reativa e pouco planejada.</t>
  </si>
  <si>
    <t>Planejamento básico do tempo, com falhas recorrentes.</t>
  </si>
  <si>
    <t>Boa gestão do tempo, com prioridades claras.</t>
  </si>
  <si>
    <t>Gestão do tempo madura, com foco em valor e produtividade.</t>
  </si>
  <si>
    <t>Custos</t>
  </si>
  <si>
    <t>Custo por unidade de carga</t>
  </si>
  <si>
    <t>Custo por m², kg, pedido</t>
  </si>
  <si>
    <t>A empresa não conhece seus custos unitários. Não há cálculo por m², kg, pedido ou entrega.</t>
  </si>
  <si>
    <t>Existem estimativas aproximadas de custos unitários, sem método estruturado ou confiabilidade.</t>
  </si>
  <si>
    <t>Custos unitários calculados, porém com baixa granularidade ou atualização esporádica.</t>
  </si>
  <si>
    <t>Custos unitários bem definidos, atualizados e utilizados para análise e controle.</t>
  </si>
  <si>
    <t>Custos unitários precisos, integrados à gestão e utilizados para decisões estratégicas.</t>
  </si>
  <si>
    <t>Custos fixos e variáveis</t>
  </si>
  <si>
    <t>Controle e distinção</t>
  </si>
  <si>
    <t>Não há distinção clara entre custos fixos e variáveis.</t>
  </si>
  <si>
    <t>Distinção básica, porém sem controle efetivo ou análise de impacto.</t>
  </si>
  <si>
    <t>Custos classificados, mas com uso limitado para gestão.</t>
  </si>
  <si>
    <t>Custos fixos e variáveis bem controlados e analisados regularmente.</t>
  </si>
  <si>
    <t>Gestão madura de custos, com simulações e decisões baseadas na estrutura de custos.</t>
  </si>
  <si>
    <t>Rentabilidade operacional</t>
  </si>
  <si>
    <t>Rentabilidade por operação</t>
  </si>
  <si>
    <t>A empresa não mede rentabilidade por operação ou centro de custo.</t>
  </si>
  <si>
    <t>Rentabilidade analisada apenas em nível global.</t>
  </si>
  <si>
    <t>Rentabilidade por operação calculada pontualmente.</t>
  </si>
  <si>
    <t>Rentabilidade operacional acompanhada regularmente.</t>
  </si>
  <si>
    <t>Rentabilidade integrada à estratégia e tomada de decisão.</t>
  </si>
  <si>
    <t>Análise custo-benefício</t>
  </si>
  <si>
    <t>Decisão baseada em valor</t>
  </si>
  <si>
    <t>Decisões tomadas sem análise de custo-benefício.</t>
  </si>
  <si>
    <t>Análises intuitivas ou superficiais.</t>
  </si>
  <si>
    <t>Análises realizadas de forma pontual.</t>
  </si>
  <si>
    <t>Análise custo-benefício estruturada antes das decisões.</t>
  </si>
  <si>
    <t>Cultura decisória baseada em valor e retorno.</t>
  </si>
  <si>
    <t>Logística de Transporte</t>
  </si>
  <si>
    <t>Custo por km</t>
  </si>
  <si>
    <t>Custo por km rodado</t>
  </si>
  <si>
    <t>A empresa não conhece o custo por km rodado. Não há controle econômico do transporte.</t>
  </si>
  <si>
    <t>Existem estimativas genéricas de custo por km, sem método estruturado ou confiabilidade.</t>
  </si>
  <si>
    <t>Custo por km calculado, porém com atualização esporádica ou baixa granularidade.</t>
  </si>
  <si>
    <t>Custo por km bem definido, atualizado e utilizado na gestão e controle do transporte.</t>
  </si>
  <si>
    <t>Custo por km preciso, integrado à decisão estratégica, negociação e otimização.</t>
  </si>
  <si>
    <t>Roteirização otimizada</t>
  </si>
  <si>
    <t>Otimização de rotas</t>
  </si>
  <si>
    <t>As rotas são definidas de forma empírica, sem critérios claros.</t>
  </si>
  <si>
    <t>Existe alguma lógica básica de roteirização, porém reativa e pouco eficiente.</t>
  </si>
  <si>
    <t>Roteirização estruturada, porém com baixa otimização ou revisão esporádica.</t>
  </si>
  <si>
    <t>Rotas otimizadas considerando distância, capacidade e restrições operacionais.</t>
  </si>
  <si>
    <t>Roteirização avançada, baseada em dados, revisada continuamente e integrada à estratégia.</t>
  </si>
  <si>
    <t>Gestão da frota</t>
  </si>
  <si>
    <t>Gestão frota própria/terceiros</t>
  </si>
  <si>
    <t>Gestão inexistente ou totalmente reativa da frota.</t>
  </si>
  <si>
    <t>Gestão básica da frota, com controles limitados e pouca análise.</t>
  </si>
  <si>
    <t>Gestão estruturada, porém com uso limitado de indicadores.</t>
  </si>
  <si>
    <t>Gestão eficiente da frota, com indicadores, controle e decisões consistentes.</t>
  </si>
  <si>
    <t>Gestão madura da frota, integrada a custos, serviço e estratégia.</t>
  </si>
  <si>
    <t>Nível de serviço de entrega</t>
  </si>
  <si>
    <t>Cumprimento de prazos</t>
  </si>
  <si>
    <t>O nível de serviço não é medido. Atrasos são frequentes.</t>
  </si>
  <si>
    <t>O nível de serviço é percebido, mas não medido sistematicamente.</t>
  </si>
  <si>
    <t>O nível de serviço é medido, porém com falhas recorrentes.</t>
  </si>
  <si>
    <t>Bom nível de serviço, acompanhado e com ações corretivas.</t>
  </si>
  <si>
    <t>Alto nível de serviço, estável e sustentado por método.</t>
  </si>
  <si>
    <t>Monitoramento veicular</t>
  </si>
  <si>
    <t>Não existe monitoramento veicular estruturado.</t>
  </si>
  <si>
    <t>Monitoramento pontual ou pouco confiável.</t>
  </si>
  <si>
    <t>Telemetria utilizada, porém com baixo uso gerencial.</t>
  </si>
  <si>
    <t>Telemetria integrada à gestão e ao controle operacional.</t>
  </si>
  <si>
    <t>Uso avançado de telemetria para prevenção, segurança e eficiência.</t>
  </si>
  <si>
    <t>Controle de Estoque</t>
  </si>
  <si>
    <t>Estratégias de estoque</t>
  </si>
  <si>
    <t>Níveis e reposição</t>
  </si>
  <si>
    <t>Não existem estratégias definidas de estoque. Reposição reativa e sem critérios.</t>
  </si>
  <si>
    <t>Existem regras básicas de reposição, porém pouco estruturadas.</t>
  </si>
  <si>
    <t>Estratégias definidas, mas com baixa aderência ou revisão esporádica.</t>
  </si>
  <si>
    <t>Estratégias claras de estoque, com níveis e reposição bem definidos.</t>
  </si>
  <si>
    <t>Gestão estratégica de estoques integrada à demanda, custo e serviço.</t>
  </si>
  <si>
    <t>Acuracidade de estoque</t>
  </si>
  <si>
    <t>Exatidão do inventário</t>
  </si>
  <si>
    <t>Inventário pouco confiável, com divergências frequentes.</t>
  </si>
  <si>
    <t>Controles básicos de estoque, com alta variabilidade.</t>
  </si>
  <si>
    <t>Inventário estruturado, porém com inconsistências recorrentes.</t>
  </si>
  <si>
    <t>Alta acuracidade de estoque, com controle e correção sistemática.</t>
  </si>
  <si>
    <t>Acuracidade elevada e estável, integrada à gestão e decisão.</t>
  </si>
  <si>
    <t>Gestão de rupturas</t>
  </si>
  <si>
    <t>Prevenção e resolução</t>
  </si>
  <si>
    <t>Rupturas frequentes e tratadas apenas de forma emergencial.</t>
  </si>
  <si>
    <t>Rupturas conhecidas, porém sem análise estruturada.</t>
  </si>
  <si>
    <t>Rupturas monitoradas, mas com ações corretivas limitadas.</t>
  </si>
  <si>
    <t>Gestão estruturada de rupturas, com prevenção e correção.</t>
  </si>
  <si>
    <t>Rupturas raras, com gestão preditiva e aprendizado contínuo.</t>
  </si>
  <si>
    <t>Rotatividade de produtos</t>
  </si>
  <si>
    <t>Giro de estoque</t>
  </si>
  <si>
    <t>Não existe controle de giro ou produtos obsoletos.</t>
  </si>
  <si>
    <t>Giro percebido de forma empírica.</t>
  </si>
  <si>
    <t>Giro medido, porém com uso limitado para decisão.</t>
  </si>
  <si>
    <t>Giro acompanhado e utilizado para ajustes de estoque.</t>
  </si>
  <si>
    <t>Giro otimizado, alinhado à estratégia e rentabilidade.</t>
  </si>
  <si>
    <t>Métodos de armazenamento</t>
  </si>
  <si>
    <t>Otimização de espaço</t>
  </si>
  <si>
    <t>Armazenamento desorganizado, sem método definido.</t>
  </si>
  <si>
    <t>Métodos básicos de armazenamento, pouco otimizados.</t>
  </si>
  <si>
    <t>Métodos definidos, porém com uso ineficiente do espaço.</t>
  </si>
  <si>
    <t>Armazenamento organizado, com boa utilização do espaço.</t>
  </si>
  <si>
    <t>Métodos avançados, maximizando espaço, fluxo e produtividade.</t>
  </si>
  <si>
    <t>Perfil</t>
  </si>
  <si>
    <t>Peso</t>
  </si>
  <si>
    <t>Distribuidor</t>
  </si>
  <si>
    <t>Indústria</t>
  </si>
  <si>
    <t>Operador Logístico</t>
  </si>
  <si>
    <t>Avaliação</t>
  </si>
  <si>
    <t>Rate</t>
  </si>
  <si>
    <t>Rate Geral</t>
  </si>
  <si>
    <t>Geral</t>
  </si>
  <si>
    <t>Rate Eixo</t>
  </si>
  <si>
    <t>Cliente:</t>
  </si>
  <si>
    <t>RATE FAUS</t>
  </si>
  <si>
    <t>Levantamento de Maturidade de Processos</t>
  </si>
  <si>
    <t>Mínimo</t>
  </si>
  <si>
    <t>Médio</t>
  </si>
  <si>
    <t>Máximo</t>
  </si>
  <si>
    <t>PROCESSO</t>
  </si>
  <si>
    <t>OPERAÇÃO</t>
  </si>
  <si>
    <t>TECNOLOGIA</t>
  </si>
  <si>
    <t>GESTÃO</t>
  </si>
  <si>
    <t>CULTURA</t>
  </si>
  <si>
    <t>CUSTOS</t>
  </si>
  <si>
    <t>LOGÍSTICA DE TRANSPORTES</t>
  </si>
  <si>
    <t>CONTROLE DE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</si>
</sst>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6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b/>
      <sz val="20"/>
      <color theme="6" tint="0.3999755851924192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sz val="12"/>
      <color theme="9" tint="0.79998168889431442"/>
      <name val="Aptos Narrow"/>
      <family val="2"/>
      <scheme val="minor"/>
    </font>
    <font>
      <sz val="10"/>
      <color theme="9" tint="0.79998168889431442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24994659260841701"/>
      </right>
      <top style="thick">
        <color theme="0" tint="-0.499984740745262"/>
      </top>
      <bottom/>
      <diagonal/>
    </border>
    <border>
      <left/>
      <right style="thick">
        <color theme="0" tint="-0.24994659260841701"/>
      </right>
      <top/>
      <bottom/>
      <diagonal/>
    </border>
    <border>
      <left style="thick">
        <color theme="0" tint="-0.499984740745262"/>
      </left>
      <right/>
      <top/>
      <bottom style="thick">
        <color theme="0" tint="-0.24994659260841701"/>
      </bottom>
      <diagonal/>
    </border>
    <border>
      <left/>
      <right/>
      <top/>
      <bottom style="thick">
        <color theme="0" tint="-0.24994659260841701"/>
      </bottom>
      <diagonal/>
    </border>
    <border>
      <left/>
      <right style="thick">
        <color theme="0" tint="-0.24994659260841701"/>
      </right>
      <top/>
      <bottom style="thick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0" applyNumberFormat="1"/>
    <xf numFmtId="43" fontId="0" fillId="0" borderId="0" xfId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vertical="center"/>
    </xf>
    <xf numFmtId="43" fontId="2" fillId="2" borderId="1" xfId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43" fontId="0" fillId="3" borderId="1" xfId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43" fontId="0" fillId="0" borderId="2" xfId="1" applyFont="1" applyBorder="1"/>
    <xf numFmtId="0" fontId="3" fillId="0" borderId="2" xfId="0" applyFont="1" applyBorder="1" applyAlignment="1">
      <alignment vertical="center"/>
    </xf>
    <xf numFmtId="43" fontId="3" fillId="0" borderId="2" xfId="1" applyFont="1" applyBorder="1"/>
    <xf numFmtId="0" fontId="5" fillId="4" borderId="0" xfId="0" applyFont="1" applyFill="1"/>
    <xf numFmtId="0" fontId="6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4" fillId="5" borderId="0" xfId="0" applyFont="1" applyFill="1"/>
    <xf numFmtId="0" fontId="7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9" fillId="6" borderId="0" xfId="0" applyFont="1" applyFill="1"/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0" fillId="0" borderId="3" xfId="0" applyBorder="1"/>
    <xf numFmtId="0" fontId="0" fillId="0" borderId="4" xfId="0" applyBorder="1"/>
    <xf numFmtId="43" fontId="0" fillId="0" borderId="4" xfId="1" applyFont="1" applyBorder="1"/>
    <xf numFmtId="0" fontId="0" fillId="0" borderId="5" xfId="0" applyBorder="1"/>
    <xf numFmtId="43" fontId="0" fillId="0" borderId="0" xfId="1" applyFont="1" applyBorder="1"/>
    <xf numFmtId="0" fontId="11" fillId="0" borderId="4" xfId="0" applyFont="1" applyBorder="1"/>
    <xf numFmtId="0" fontId="0" fillId="0" borderId="6" xfId="0" applyBorder="1"/>
    <xf numFmtId="0" fontId="0" fillId="0" borderId="7" xfId="0" applyBorder="1"/>
    <xf numFmtId="0" fontId="11" fillId="0" borderId="0" xfId="0" applyFont="1"/>
    <xf numFmtId="0" fontId="0" fillId="0" borderId="8" xfId="0" applyBorder="1"/>
    <xf numFmtId="0" fontId="0" fillId="0" borderId="9" xfId="0" applyBorder="1"/>
    <xf numFmtId="43" fontId="0" fillId="0" borderId="9" xfId="1" applyFont="1" applyBorder="1"/>
    <xf numFmtId="0" fontId="0" fillId="0" borderId="10" xfId="0" applyBorder="1"/>
  </cellXfs>
  <cellStyles count="3">
    <cellStyle name="Normal" xfId="0" builtinId="0"/>
    <cellStyle name="Normal 2 10" xfId="2" xr:uid="{9DB0F3BD-2601-CF4B-90B3-A6343242E9EC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 Rate por Eixo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'Rate Geral'!$D$9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'Rate Geral'!$C$10:$C$17</c:f>
              <c:strCache>
                <c:ptCount val="8"/>
                <c:pt idx="0">
                  <c:v>Processos</c:v>
                </c:pt>
                <c:pt idx="1">
                  <c:v>Operação</c:v>
                </c:pt>
                <c:pt idx="2">
                  <c:v>Tecnologia</c:v>
                </c:pt>
                <c:pt idx="3">
                  <c:v>Gestão</c:v>
                </c:pt>
                <c:pt idx="4">
                  <c:v>Cultura</c:v>
                </c:pt>
                <c:pt idx="5">
                  <c:v>Custos</c:v>
                </c:pt>
                <c:pt idx="6">
                  <c:v>Logística de Transporte</c:v>
                </c:pt>
                <c:pt idx="7">
                  <c:v>Controle de Estoque</c:v>
                </c:pt>
              </c:strCache>
            </c:strRef>
          </c:cat>
          <c:val>
            <c:numRef>
              <c:f>'Rate Geral'!$D$10:$D$17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9-744D-BDC5-550BD2E4F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9631"/>
        <c:axId val="129705599"/>
      </c:radarChart>
      <c:catAx>
        <c:axId val="12970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705599"/>
        <c:crosses val="autoZero"/>
        <c:auto val="1"/>
        <c:lblAlgn val="ctr"/>
        <c:lblOffset val="100"/>
        <c:noMultiLvlLbl val="0"/>
      </c:catAx>
      <c:valAx>
        <c:axId val="129705599"/>
        <c:scaling>
          <c:orientation val="minMax"/>
          <c:max val="5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crossAx val="1297096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Rate Geral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077679571820959"/>
          <c:y val="0.20337234204312721"/>
          <c:w val="0.70911627114941678"/>
          <c:h val="0.78783000298219719"/>
        </c:manualLayout>
      </c:layout>
      <c:doughnutChart>
        <c:varyColors val="1"/>
        <c:ser>
          <c:idx val="0"/>
          <c:order val="0"/>
          <c:tx>
            <c:strRef>
              <c:f>'Rate Geral'!$C$18</c:f>
              <c:strCache>
                <c:ptCount val="1"/>
                <c:pt idx="0">
                  <c:v>Geral</c:v>
                </c:pt>
              </c:strCache>
            </c:strRef>
          </c:tx>
          <c:spPr>
            <a:ln>
              <a:solidFill>
                <a:schemeClr val="tx2">
                  <a:lumMod val="50000"/>
                  <a:lumOff val="50000"/>
                </a:schemeClr>
              </a:solidFill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09-7045-B3EF-B0C25C094CBF}"/>
              </c:ext>
            </c:extLst>
          </c:dPt>
          <c:dPt>
            <c:idx val="1"/>
            <c:bubble3D val="0"/>
            <c:spPr>
              <a:noFill/>
              <a:ln w="9525">
                <a:solidFill>
                  <a:schemeClr val="bg1">
                    <a:lumMod val="85000"/>
                  </a:schemeClr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09-7045-B3EF-B0C25C094CB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09-7045-B3EF-B0C25C094CBF}"/>
              </c:ext>
            </c:extLst>
          </c:dPt>
          <c:dLbls>
            <c:dLbl>
              <c:idx val="0"/>
              <c:layout>
                <c:manualLayout>
                  <c:x val="0.13343626463559002"/>
                  <c:y val="0.112591279999916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509-7045-B3EF-B0C25C094CB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09-7045-B3EF-B0C25C094CB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09-7045-B3EF-B0C25C094C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'Rate Geral'!$D$9:$F$9</c:f>
              <c:strCache>
                <c:ptCount val="1"/>
                <c:pt idx="0">
                  <c:v> Rate </c:v>
                </c:pt>
              </c:strCache>
            </c:strRef>
          </c:cat>
          <c:val>
            <c:numRef>
              <c:f>'Rate Geral'!$D$18:$F$18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9-7045-B3EF-B0C25C094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57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Distribuidor!$C$2:$C$7</c:f>
              <c:strCache>
                <c:ptCount val="6"/>
                <c:pt idx="0">
                  <c:v>Mapeamento de processos</c:v>
                </c:pt>
                <c:pt idx="1">
                  <c:v>Padronização</c:v>
                </c:pt>
                <c:pt idx="2">
                  <c:v>Trabalho padronizado</c:v>
                </c:pt>
                <c:pt idx="3">
                  <c:v>Controles operacionais</c:v>
                </c:pt>
                <c:pt idx="4">
                  <c:v>Aderência ao processo</c:v>
                </c:pt>
                <c:pt idx="5">
                  <c:v>Medição de desempenho</c:v>
                </c:pt>
              </c:strCache>
            </c:strRef>
          </c:cat>
          <c:val>
            <c:numRef>
              <c:f>Distribuidor!$F$2:$F$7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Distribuidor!$C$2:$C$7</c:f>
              <c:strCache>
                <c:ptCount val="6"/>
                <c:pt idx="0">
                  <c:v>Mapeamento de processos</c:v>
                </c:pt>
                <c:pt idx="1">
                  <c:v>Padronização</c:v>
                </c:pt>
                <c:pt idx="2">
                  <c:v>Trabalho padronizado</c:v>
                </c:pt>
                <c:pt idx="3">
                  <c:v>Controles operacionais</c:v>
                </c:pt>
                <c:pt idx="4">
                  <c:v>Aderência ao processo</c:v>
                </c:pt>
                <c:pt idx="5">
                  <c:v>Medição de desempenho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Distribuidor!$C$2:$C$7</c:f>
              <c:strCache>
                <c:ptCount val="6"/>
                <c:pt idx="0">
                  <c:v>Mapeamento de processos</c:v>
                </c:pt>
                <c:pt idx="1">
                  <c:v>Padronização</c:v>
                </c:pt>
                <c:pt idx="2">
                  <c:v>Trabalho padronizado</c:v>
                </c:pt>
                <c:pt idx="3">
                  <c:v>Controles operacionais</c:v>
                </c:pt>
                <c:pt idx="4">
                  <c:v>Aderência ao processo</c:v>
                </c:pt>
                <c:pt idx="5">
                  <c:v>Medição de desempenho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Distribuidor!$C$2:$C$7</c:f>
              <c:strCache>
                <c:ptCount val="6"/>
                <c:pt idx="0">
                  <c:v>Mapeamento de processos</c:v>
                </c:pt>
                <c:pt idx="1">
                  <c:v>Padronização</c:v>
                </c:pt>
                <c:pt idx="2">
                  <c:v>Trabalho padronizado</c:v>
                </c:pt>
                <c:pt idx="3">
                  <c:v>Controles operacionais</c:v>
                </c:pt>
                <c:pt idx="4">
                  <c:v>Aderência ao processo</c:v>
                </c:pt>
                <c:pt idx="5">
                  <c:v>Medição de desempenho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Distribuidor!$C$8:$C$13</c:f>
              <c:strCache>
                <c:ptCount val="6"/>
                <c:pt idx="0">
                  <c:v>Slotting e layout</c:v>
                </c:pt>
                <c:pt idx="1">
                  <c:v>Acuracidade de inventário</c:v>
                </c:pt>
                <c:pt idx="2">
                  <c:v>Produtividade no picking</c:v>
                </c:pt>
                <c:pt idx="3">
                  <c:v>Lead times operacionais</c:v>
                </c:pt>
                <c:pt idx="4">
                  <c:v>Controle de qualidade</c:v>
                </c:pt>
                <c:pt idx="5">
                  <c:v>Gestão de falhas e exceções</c:v>
                </c:pt>
              </c:strCache>
            </c:strRef>
          </c:cat>
          <c:val>
            <c:numRef>
              <c:f>Distribuidor!$F$8:$F$13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Distribuidor!$C$8:$C$13</c:f>
              <c:strCache>
                <c:ptCount val="6"/>
                <c:pt idx="0">
                  <c:v>Slotting e layout</c:v>
                </c:pt>
                <c:pt idx="1">
                  <c:v>Acuracidade de inventário</c:v>
                </c:pt>
                <c:pt idx="2">
                  <c:v>Produtividade no picking</c:v>
                </c:pt>
                <c:pt idx="3">
                  <c:v>Lead times operacionais</c:v>
                </c:pt>
                <c:pt idx="4">
                  <c:v>Controle de qualidade</c:v>
                </c:pt>
                <c:pt idx="5">
                  <c:v>Gestão de falhas e exceções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Distribuidor!$C$8:$C$13</c:f>
              <c:strCache>
                <c:ptCount val="6"/>
                <c:pt idx="0">
                  <c:v>Slotting e layout</c:v>
                </c:pt>
                <c:pt idx="1">
                  <c:v>Acuracidade de inventário</c:v>
                </c:pt>
                <c:pt idx="2">
                  <c:v>Produtividade no picking</c:v>
                </c:pt>
                <c:pt idx="3">
                  <c:v>Lead times operacionais</c:v>
                </c:pt>
                <c:pt idx="4">
                  <c:v>Controle de qualidade</c:v>
                </c:pt>
                <c:pt idx="5">
                  <c:v>Gestão de falhas e exceções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Distribuidor!$C$8:$C$13</c:f>
              <c:strCache>
                <c:ptCount val="6"/>
                <c:pt idx="0">
                  <c:v>Slotting e layout</c:v>
                </c:pt>
                <c:pt idx="1">
                  <c:v>Acuracidade de inventário</c:v>
                </c:pt>
                <c:pt idx="2">
                  <c:v>Produtividade no picking</c:v>
                </c:pt>
                <c:pt idx="3">
                  <c:v>Lead times operacionais</c:v>
                </c:pt>
                <c:pt idx="4">
                  <c:v>Controle de qualidade</c:v>
                </c:pt>
                <c:pt idx="5">
                  <c:v>Gestão de falhas e exceções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Distribuidor!$C$14:$C$18</c:f>
              <c:strCache>
                <c:ptCount val="5"/>
                <c:pt idx="0">
                  <c:v>Integração de sistemas</c:v>
                </c:pt>
                <c:pt idx="1">
                  <c:v>Sistemas de rastreamento</c:v>
                </c:pt>
                <c:pt idx="2">
                  <c:v>Automação de processos</c:v>
                </c:pt>
                <c:pt idx="3">
                  <c:v>Dashboards e relatórios</c:v>
                </c:pt>
                <c:pt idx="4">
                  <c:v>Big Data e análise preditiva</c:v>
                </c:pt>
              </c:strCache>
            </c:strRef>
          </c:cat>
          <c:val>
            <c:numRef>
              <c:f>Distribuidor!$F$14:$F$18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Distribuidor!$C$14:$C$18</c:f>
              <c:strCache>
                <c:ptCount val="5"/>
                <c:pt idx="0">
                  <c:v>Integração de sistemas</c:v>
                </c:pt>
                <c:pt idx="1">
                  <c:v>Sistemas de rastreamento</c:v>
                </c:pt>
                <c:pt idx="2">
                  <c:v>Automação de processos</c:v>
                </c:pt>
                <c:pt idx="3">
                  <c:v>Dashboards e relatórios</c:v>
                </c:pt>
                <c:pt idx="4">
                  <c:v>Big Data e análise preditiva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Distribuidor!$C$14:$C$18</c:f>
              <c:strCache>
                <c:ptCount val="5"/>
                <c:pt idx="0">
                  <c:v>Integração de sistemas</c:v>
                </c:pt>
                <c:pt idx="1">
                  <c:v>Sistemas de rastreamento</c:v>
                </c:pt>
                <c:pt idx="2">
                  <c:v>Automação de processos</c:v>
                </c:pt>
                <c:pt idx="3">
                  <c:v>Dashboards e relatórios</c:v>
                </c:pt>
                <c:pt idx="4">
                  <c:v>Big Data e análise preditiva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Distribuidor!$C$14:$C$18</c:f>
              <c:strCache>
                <c:ptCount val="5"/>
                <c:pt idx="0">
                  <c:v>Integração de sistemas</c:v>
                </c:pt>
                <c:pt idx="1">
                  <c:v>Sistemas de rastreamento</c:v>
                </c:pt>
                <c:pt idx="2">
                  <c:v>Automação de processos</c:v>
                </c:pt>
                <c:pt idx="3">
                  <c:v>Dashboards e relatórios</c:v>
                </c:pt>
                <c:pt idx="4">
                  <c:v>Big Data e análise preditiva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Distribuidor!$C$19:$C$24</c:f>
              <c:strCache>
                <c:ptCount val="6"/>
                <c:pt idx="0">
                  <c:v>Planejamento estratégico</c:v>
                </c:pt>
                <c:pt idx="1">
                  <c:v>KPIs e métricas</c:v>
                </c:pt>
                <c:pt idx="2">
                  <c:v>Gestão de equipes</c:v>
                </c:pt>
                <c:pt idx="3">
                  <c:v>PDCA e melhoria contínua</c:v>
                </c:pt>
                <c:pt idx="4">
                  <c:v>Gestão visual e comunicação</c:v>
                </c:pt>
                <c:pt idx="5">
                  <c:v>Gestão de riscos</c:v>
                </c:pt>
              </c:strCache>
            </c:strRef>
          </c:cat>
          <c:val>
            <c:numRef>
              <c:f>Distribuidor!$F$19:$F$24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Distribuidor!$C$19:$C$24</c:f>
              <c:strCache>
                <c:ptCount val="6"/>
                <c:pt idx="0">
                  <c:v>Planejamento estratégico</c:v>
                </c:pt>
                <c:pt idx="1">
                  <c:v>KPIs e métricas</c:v>
                </c:pt>
                <c:pt idx="2">
                  <c:v>Gestão de equipes</c:v>
                </c:pt>
                <c:pt idx="3">
                  <c:v>PDCA e melhoria contínua</c:v>
                </c:pt>
                <c:pt idx="4">
                  <c:v>Gestão visual e comunicação</c:v>
                </c:pt>
                <c:pt idx="5">
                  <c:v>Gestão de riscos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Distribuidor!$C$19:$C$24</c:f>
              <c:strCache>
                <c:ptCount val="6"/>
                <c:pt idx="0">
                  <c:v>Planejamento estratégico</c:v>
                </c:pt>
                <c:pt idx="1">
                  <c:v>KPIs e métricas</c:v>
                </c:pt>
                <c:pt idx="2">
                  <c:v>Gestão de equipes</c:v>
                </c:pt>
                <c:pt idx="3">
                  <c:v>PDCA e melhoria contínua</c:v>
                </c:pt>
                <c:pt idx="4">
                  <c:v>Gestão visual e comunicação</c:v>
                </c:pt>
                <c:pt idx="5">
                  <c:v>Gestão de riscos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Distribuidor!$C$19:$C$24</c:f>
              <c:strCache>
                <c:ptCount val="6"/>
                <c:pt idx="0">
                  <c:v>Planejamento estratégico</c:v>
                </c:pt>
                <c:pt idx="1">
                  <c:v>KPIs e métricas</c:v>
                </c:pt>
                <c:pt idx="2">
                  <c:v>Gestão de equipes</c:v>
                </c:pt>
                <c:pt idx="3">
                  <c:v>PDCA e melhoria contínua</c:v>
                </c:pt>
                <c:pt idx="4">
                  <c:v>Gestão visual e comunicação</c:v>
                </c:pt>
                <c:pt idx="5">
                  <c:v>Gestão de riscos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Distribuidor!$C$25:$C$29</c:f>
              <c:strCache>
                <c:ptCount val="5"/>
                <c:pt idx="0">
                  <c:v>Responsabilidade e accountability</c:v>
                </c:pt>
                <c:pt idx="1">
                  <c:v>Disciplina operacional</c:v>
                </c:pt>
                <c:pt idx="2">
                  <c:v>Abertura à inovação</c:v>
                </c:pt>
                <c:pt idx="3">
                  <c:v>Gestão do tempo</c:v>
                </c:pt>
                <c:pt idx="4">
                  <c:v>Custo por unidade de carga</c:v>
                </c:pt>
              </c:strCache>
            </c:strRef>
          </c:cat>
          <c:val>
            <c:numRef>
              <c:f>Distribuidor!$F$25:$F$29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Distribuidor!$C$25:$C$29</c:f>
              <c:strCache>
                <c:ptCount val="5"/>
                <c:pt idx="0">
                  <c:v>Responsabilidade e accountability</c:v>
                </c:pt>
                <c:pt idx="1">
                  <c:v>Disciplina operacional</c:v>
                </c:pt>
                <c:pt idx="2">
                  <c:v>Abertura à inovação</c:v>
                </c:pt>
                <c:pt idx="3">
                  <c:v>Gestão do tempo</c:v>
                </c:pt>
                <c:pt idx="4">
                  <c:v>Custo por unidade de carga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Distribuidor!$C$25:$C$29</c:f>
              <c:strCache>
                <c:ptCount val="5"/>
                <c:pt idx="0">
                  <c:v>Responsabilidade e accountability</c:v>
                </c:pt>
                <c:pt idx="1">
                  <c:v>Disciplina operacional</c:v>
                </c:pt>
                <c:pt idx="2">
                  <c:v>Abertura à inovação</c:v>
                </c:pt>
                <c:pt idx="3">
                  <c:v>Gestão do tempo</c:v>
                </c:pt>
                <c:pt idx="4">
                  <c:v>Custo por unidade de carga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Distribuidor!$C$25:$C$29</c:f>
              <c:strCache>
                <c:ptCount val="5"/>
                <c:pt idx="0">
                  <c:v>Responsabilidade e accountability</c:v>
                </c:pt>
                <c:pt idx="1">
                  <c:v>Disciplina operacional</c:v>
                </c:pt>
                <c:pt idx="2">
                  <c:v>Abertura à inovação</c:v>
                </c:pt>
                <c:pt idx="3">
                  <c:v>Gestão do tempo</c:v>
                </c:pt>
                <c:pt idx="4">
                  <c:v>Custo por unidade de carga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Distribuidor!$C$30:$C$32</c:f>
              <c:strCache>
                <c:ptCount val="3"/>
                <c:pt idx="0">
                  <c:v>Custos fixos e variáveis</c:v>
                </c:pt>
                <c:pt idx="1">
                  <c:v>Rentabilidade operacional</c:v>
                </c:pt>
                <c:pt idx="2">
                  <c:v>Análise custo-benefício</c:v>
                </c:pt>
              </c:strCache>
            </c:strRef>
          </c:cat>
          <c:val>
            <c:numRef>
              <c:f>Distribuidor!$F$30:$F$32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Distribuidor!$C$30:$C$32</c:f>
              <c:strCache>
                <c:ptCount val="3"/>
                <c:pt idx="0">
                  <c:v>Custos fixos e variáveis</c:v>
                </c:pt>
                <c:pt idx="1">
                  <c:v>Rentabilidade operacional</c:v>
                </c:pt>
                <c:pt idx="2">
                  <c:v>Análise custo-benefício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Distribuidor!$C$30:$C$32</c:f>
              <c:strCache>
                <c:ptCount val="3"/>
                <c:pt idx="0">
                  <c:v>Custos fixos e variáveis</c:v>
                </c:pt>
                <c:pt idx="1">
                  <c:v>Rentabilidade operacional</c:v>
                </c:pt>
                <c:pt idx="2">
                  <c:v>Análise custo-benefício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Distribuidor!$C$30:$C$32</c:f>
              <c:strCache>
                <c:ptCount val="3"/>
                <c:pt idx="0">
                  <c:v>Custos fixos e variáveis</c:v>
                </c:pt>
                <c:pt idx="1">
                  <c:v>Rentabilidade operacional</c:v>
                </c:pt>
                <c:pt idx="2">
                  <c:v>Análise custo-benefício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Distribuidor!$C$33:$C$37</c:f>
              <c:strCache>
                <c:ptCount val="5"/>
                <c:pt idx="0">
                  <c:v>Custo por km</c:v>
                </c:pt>
                <c:pt idx="1">
                  <c:v>Roteirização otimizada</c:v>
                </c:pt>
                <c:pt idx="2">
                  <c:v>Gestão da frota</c:v>
                </c:pt>
                <c:pt idx="3">
                  <c:v>Nível de serviço de entrega</c:v>
                </c:pt>
                <c:pt idx="4">
                  <c:v>Telemetria e rastreadores</c:v>
                </c:pt>
              </c:strCache>
            </c:strRef>
          </c:cat>
          <c:val>
            <c:numRef>
              <c:f>Distribuidor!$F$33:$F$37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Distribuidor!$C$33:$C$37</c:f>
              <c:strCache>
                <c:ptCount val="5"/>
                <c:pt idx="0">
                  <c:v>Custo por km</c:v>
                </c:pt>
                <c:pt idx="1">
                  <c:v>Roteirização otimizada</c:v>
                </c:pt>
                <c:pt idx="2">
                  <c:v>Gestão da frota</c:v>
                </c:pt>
                <c:pt idx="3">
                  <c:v>Nível de serviço de entrega</c:v>
                </c:pt>
                <c:pt idx="4">
                  <c:v>Telemetria e rastreadores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Distribuidor!$C$33:$C$37</c:f>
              <c:strCache>
                <c:ptCount val="5"/>
                <c:pt idx="0">
                  <c:v>Custo por km</c:v>
                </c:pt>
                <c:pt idx="1">
                  <c:v>Roteirização otimizada</c:v>
                </c:pt>
                <c:pt idx="2">
                  <c:v>Gestão da frota</c:v>
                </c:pt>
                <c:pt idx="3">
                  <c:v>Nível de serviço de entrega</c:v>
                </c:pt>
                <c:pt idx="4">
                  <c:v>Telemetria e rastreadores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Distribuidor!$C$33:$C$37</c:f>
              <c:strCache>
                <c:ptCount val="5"/>
                <c:pt idx="0">
                  <c:v>Custo por km</c:v>
                </c:pt>
                <c:pt idx="1">
                  <c:v>Roteirização otimizada</c:v>
                </c:pt>
                <c:pt idx="2">
                  <c:v>Gestão da frota</c:v>
                </c:pt>
                <c:pt idx="3">
                  <c:v>Nível de serviço de entrega</c:v>
                </c:pt>
                <c:pt idx="4">
                  <c:v>Telemetria e rastreadores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Distribuidor!$F$1</c:f>
              <c:strCache>
                <c:ptCount val="1"/>
                <c:pt idx="0">
                  <c:v>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Distribuidor!$C$38:$C$42</c:f>
              <c:strCache>
                <c:ptCount val="5"/>
                <c:pt idx="0">
                  <c:v>Estratégias de estoque</c:v>
                </c:pt>
                <c:pt idx="1">
                  <c:v>Acuracidade de estoque</c:v>
                </c:pt>
                <c:pt idx="2">
                  <c:v>Gestão de rupturas</c:v>
                </c:pt>
                <c:pt idx="3">
                  <c:v>Rotatividade de produtos</c:v>
                </c:pt>
                <c:pt idx="4">
                  <c:v>Métodos de armazenamento</c:v>
                </c:pt>
              </c:strCache>
            </c:strRef>
          </c:cat>
          <c:val>
            <c:numRef>
              <c:f>Distribuidor!$F$38:$F$42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3-4F4E-9F68-99BB39FEEC4A}"/>
            </c:ext>
          </c:extLst>
        </c:ser>
        <c:ser>
          <c:idx val="1"/>
          <c:order val="1"/>
          <c:tx>
            <c:strRef>
              <c:f>Distribuidor!$J$1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Distribuidor!$C$38:$C$42</c:f>
              <c:strCache>
                <c:ptCount val="5"/>
                <c:pt idx="0">
                  <c:v>Estratégias de estoque</c:v>
                </c:pt>
                <c:pt idx="1">
                  <c:v>Acuracidade de estoque</c:v>
                </c:pt>
                <c:pt idx="2">
                  <c:v>Gestão de rupturas</c:v>
                </c:pt>
                <c:pt idx="3">
                  <c:v>Rotatividade de produtos</c:v>
                </c:pt>
                <c:pt idx="4">
                  <c:v>Métodos de armazenamento</c:v>
                </c:pt>
              </c:strCache>
            </c:strRef>
          </c:cat>
          <c:val>
            <c:numRef>
              <c:f>Distribuidor!$J$2:$J$7</c:f>
              <c:numCache>
                <c:formatCode>_(* #,##0.00_);_(* \(#,##0.00\);_(* "-"??_);_(@_)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3-4F4E-9F68-99BB39FEEC4A}"/>
            </c:ext>
          </c:extLst>
        </c:ser>
        <c:ser>
          <c:idx val="2"/>
          <c:order val="2"/>
          <c:tx>
            <c:strRef>
              <c:f>Distribuidor!$K$1</c:f>
              <c:strCache>
                <c:ptCount val="1"/>
                <c:pt idx="0">
                  <c:v>Médio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Distribuidor!$C$38:$C$42</c:f>
              <c:strCache>
                <c:ptCount val="5"/>
                <c:pt idx="0">
                  <c:v>Estratégias de estoque</c:v>
                </c:pt>
                <c:pt idx="1">
                  <c:v>Acuracidade de estoque</c:v>
                </c:pt>
                <c:pt idx="2">
                  <c:v>Gestão de rupturas</c:v>
                </c:pt>
                <c:pt idx="3">
                  <c:v>Rotatividade de produtos</c:v>
                </c:pt>
                <c:pt idx="4">
                  <c:v>Métodos de armazenamento</c:v>
                </c:pt>
              </c:strCache>
            </c:strRef>
          </c:cat>
          <c:val>
            <c:numRef>
              <c:f>Distribuidor!$K$2:$K$7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3-4F4E-9F68-99BB39FEEC4A}"/>
            </c:ext>
          </c:extLst>
        </c:ser>
        <c:ser>
          <c:idx val="3"/>
          <c:order val="3"/>
          <c:tx>
            <c:strRef>
              <c:f>Distribuidor!$L$1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Distribuidor!$C$38:$C$42</c:f>
              <c:strCache>
                <c:ptCount val="5"/>
                <c:pt idx="0">
                  <c:v>Estratégias de estoque</c:v>
                </c:pt>
                <c:pt idx="1">
                  <c:v>Acuracidade de estoque</c:v>
                </c:pt>
                <c:pt idx="2">
                  <c:v>Gestão de rupturas</c:v>
                </c:pt>
                <c:pt idx="3">
                  <c:v>Rotatividade de produtos</c:v>
                </c:pt>
                <c:pt idx="4">
                  <c:v>Métodos de armazenamento</c:v>
                </c:pt>
              </c:strCache>
            </c:strRef>
          </c:cat>
          <c:val>
            <c:numRef>
              <c:f>Distribuidor!$L$2:$L$7</c:f>
              <c:numCache>
                <c:formatCode>_(* #,##0.00_);_(* \(#,##0.00\);_(* "-"??_);_(@_)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3-4F4E-9F68-99BB39F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21568"/>
        <c:axId val="72225152"/>
      </c:lineChart>
      <c:catAx>
        <c:axId val="722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5152"/>
        <c:crosses val="autoZero"/>
        <c:auto val="1"/>
        <c:lblAlgn val="ctr"/>
        <c:lblOffset val="100"/>
        <c:noMultiLvlLbl val="0"/>
      </c:catAx>
      <c:valAx>
        <c:axId val="722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86837</xdr:colOff>
      <xdr:row>6</xdr:row>
      <xdr:rowOff>175955</xdr:rowOff>
    </xdr:from>
    <xdr:to>
      <xdr:col>9</xdr:col>
      <xdr:colOff>531338</xdr:colOff>
      <xdr:row>20</xdr:row>
      <xdr:rowOff>74355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EA4ED6-3D31-E12F-29AB-807E12EDC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568624</xdr:colOff>
      <xdr:row>6</xdr:row>
      <xdr:rowOff>175955</xdr:rowOff>
    </xdr:from>
    <xdr:to>
      <xdr:col>15</xdr:col>
      <xdr:colOff>187623</xdr:colOff>
      <xdr:row>20</xdr:row>
      <xdr:rowOff>75984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F69F8A-B1E2-A394-F776-21299CF74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40921</xdr:colOff>
      <xdr:row>23</xdr:row>
      <xdr:rowOff>65128</xdr:rowOff>
    </xdr:from>
    <xdr:to>
      <xdr:col>7</xdr:col>
      <xdr:colOff>485177</xdr:colOff>
      <xdr:row>36</xdr:row>
      <xdr:rowOff>127217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017211-F2D8-DE44-A3AE-94BF540B6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10308</xdr:colOff>
      <xdr:row>23</xdr:row>
      <xdr:rowOff>65128</xdr:rowOff>
    </xdr:from>
    <xdr:to>
      <xdr:col>14</xdr:col>
      <xdr:colOff>313453</xdr:colOff>
      <xdr:row>36</xdr:row>
      <xdr:rowOff>144180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3E5266-96E0-F543-801E-0E27743B9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32564</xdr:colOff>
      <xdr:row>39</xdr:row>
      <xdr:rowOff>14864</xdr:rowOff>
    </xdr:from>
    <xdr:to>
      <xdr:col>7</xdr:col>
      <xdr:colOff>476820</xdr:colOff>
      <xdr:row>52</xdr:row>
      <xdr:rowOff>76953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71A657E-C14F-217F-329E-BDAA5F409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10672</xdr:colOff>
      <xdr:row>39</xdr:row>
      <xdr:rowOff>32565</xdr:rowOff>
    </xdr:from>
    <xdr:to>
      <xdr:col>14</xdr:col>
      <xdr:colOff>313817</xdr:colOff>
      <xdr:row>52</xdr:row>
      <xdr:rowOff>94654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BB6A09-D3C4-9E42-9DDE-B17638949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21709</xdr:colOff>
      <xdr:row>55</xdr:row>
      <xdr:rowOff>65038</xdr:rowOff>
    </xdr:from>
    <xdr:to>
      <xdr:col>7</xdr:col>
      <xdr:colOff>465965</xdr:colOff>
      <xdr:row>68</xdr:row>
      <xdr:rowOff>127127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CFA132-6BF8-BC47-BE08-A3C2126F1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10124</xdr:colOff>
      <xdr:row>55</xdr:row>
      <xdr:rowOff>67500</xdr:rowOff>
    </xdr:from>
    <xdr:to>
      <xdr:col>14</xdr:col>
      <xdr:colOff>313269</xdr:colOff>
      <xdr:row>68</xdr:row>
      <xdr:rowOff>129589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FB0081E-2D14-4249-9ED0-8D0578313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21709</xdr:colOff>
      <xdr:row>71</xdr:row>
      <xdr:rowOff>43419</xdr:rowOff>
    </xdr:from>
    <xdr:to>
      <xdr:col>7</xdr:col>
      <xdr:colOff>465965</xdr:colOff>
      <xdr:row>84</xdr:row>
      <xdr:rowOff>105508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994C89C-837E-B344-8F58-1B98027AF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10855</xdr:colOff>
      <xdr:row>71</xdr:row>
      <xdr:rowOff>43419</xdr:rowOff>
    </xdr:from>
    <xdr:to>
      <xdr:col>14</xdr:col>
      <xdr:colOff>314000</xdr:colOff>
      <xdr:row>84</xdr:row>
      <xdr:rowOff>105508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0BD51E2-07C6-7649-8C12-C46CF88D4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0A34-8242-0942-910B-5F8791667AF9}">
  <dimension ref="A1:N42"/>
  <sheetViews>
    <sheetView workbookViewId="0">
      <selection activeCell="A2" sqref="A2:C42"/>
    </sheetView>
  </sheetViews>
  <sheetFormatPr baseColWidth="10" defaultRowHeight="16" x14ac:dyDescent="0.2"/>
  <cols>
    <col min="1" max="1" width="10.83203125" style="1"/>
    <col min="2" max="2" width="29.33203125" style="1" bestFit="1" customWidth="1"/>
    <col min="3" max="3" width="19" style="2" customWidth="1"/>
    <col min="4" max="8" width="28.6640625" style="2" customWidth="1"/>
  </cols>
  <sheetData>
    <row r="1" spans="1:14" ht="17" x14ac:dyDescent="0.2">
      <c r="A1" s="1" t="s">
        <v>0</v>
      </c>
      <c r="B1" s="1" t="s">
        <v>1</v>
      </c>
      <c r="C1" s="2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J1" s="1">
        <v>1</v>
      </c>
      <c r="K1" s="1">
        <v>2</v>
      </c>
      <c r="L1" s="1">
        <v>3</v>
      </c>
      <c r="M1" s="1">
        <v>4</v>
      </c>
      <c r="N1" s="1">
        <v>5</v>
      </c>
    </row>
    <row r="2" spans="1:14" ht="85" x14ac:dyDescent="0.2">
      <c r="A2" s="1" t="s">
        <v>3</v>
      </c>
      <c r="B2" s="1" t="s">
        <v>4</v>
      </c>
      <c r="C2" s="2" t="s">
        <v>5</v>
      </c>
      <c r="D2" s="2" t="str">
        <f>J$1&amp;"- "&amp;J2</f>
        <v>1- Não existem processos mapeados. A operação funciona com base em conhecimento tácito, experiência individual e improviso.</v>
      </c>
      <c r="E2" s="2" t="str">
        <f t="shared" ref="E2:H17" si="0">K$1&amp;"- "&amp;K2</f>
        <v>2- Existem mapeamentos pontuais ou informais, incompletos e que não refletem fielmente a prática operacional.</v>
      </c>
      <c r="F2" s="2" t="str">
        <f t="shared" si="0"/>
        <v>3- Processos mapeados, porém com baixo detalhamento, desatualizados ou pouco utilizados.</v>
      </c>
      <c r="G2" s="2" t="str">
        <f t="shared" si="0"/>
        <v>4- Processos mapeados, detalhados, atualizados e utilizados como referência operacional.</v>
      </c>
      <c r="H2" s="2" t="str">
        <f t="shared" si="0"/>
        <v>5- Mapeamento completo, governado, integrado à gestão e utilizado como base oficial da operação.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</row>
    <row r="3" spans="1:14" ht="51" x14ac:dyDescent="0.2">
      <c r="A3" s="1" t="s">
        <v>3</v>
      </c>
      <c r="B3" s="1" t="s">
        <v>11</v>
      </c>
      <c r="C3" s="2" t="s">
        <v>12</v>
      </c>
      <c r="D3" s="2" t="str">
        <f t="shared" ref="D3:D42" si="1">J$1&amp;"- "&amp;J3</f>
        <v>1- Inexistência de padrões formais. Execução varia conforme pessoas e turnos.</v>
      </c>
      <c r="E3" s="2" t="str">
        <f t="shared" si="0"/>
        <v>2- Padrões informais ou pouco difundidos, sem uso consistente.</v>
      </c>
      <c r="F3" s="2" t="str">
        <f t="shared" si="0"/>
        <v>3- Padrões documentados, porém com baixa aderência na prática.</v>
      </c>
      <c r="G3" s="2" t="str">
        <f t="shared" si="0"/>
        <v>4- Padrões claros, documentados e utilizados regularmente na operação.</v>
      </c>
      <c r="H3" s="2" t="str">
        <f t="shared" si="0"/>
        <v>5- Padronização madura, integrada à cultura e continuamente aprimorada.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spans="1:14" ht="51" x14ac:dyDescent="0.2">
      <c r="A4" s="1" t="s">
        <v>3</v>
      </c>
      <c r="B4" s="1" t="s">
        <v>18</v>
      </c>
      <c r="C4" s="2" t="s">
        <v>19</v>
      </c>
      <c r="D4" s="2" t="str">
        <f t="shared" si="1"/>
        <v>1- Ausência de rotinas claras. Execução altamente variável.</v>
      </c>
      <c r="E4" s="2" t="str">
        <f t="shared" si="0"/>
        <v>2- Rotinas implícitas ou verbais, dependentes da experiência individual.</v>
      </c>
      <c r="F4" s="2" t="str">
        <f t="shared" si="0"/>
        <v>3- Rotinas definidas, porém seguidas de forma inconsistente.</v>
      </c>
      <c r="G4" s="2" t="str">
        <f t="shared" si="0"/>
        <v>4- Rotinas claras, padronizadas e seguidas de forma disciplinada.</v>
      </c>
      <c r="H4" s="2" t="str">
        <f t="shared" si="0"/>
        <v>5- Trabalho padronizado robusto, base da produtividade e melhoria contínua.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</row>
    <row r="5" spans="1:14" ht="51" x14ac:dyDescent="0.2">
      <c r="A5" s="1" t="s">
        <v>3</v>
      </c>
      <c r="B5" s="1" t="s">
        <v>25</v>
      </c>
      <c r="C5" s="2" t="s">
        <v>26</v>
      </c>
      <c r="D5" s="2" t="str">
        <f t="shared" si="1"/>
        <v>1- Inexistência de controles formais.</v>
      </c>
      <c r="E5" s="2" t="str">
        <f t="shared" si="0"/>
        <v>2- Controles pontuais e informais, sem método.</v>
      </c>
      <c r="F5" s="2" t="str">
        <f t="shared" si="0"/>
        <v>3- Controles definidos, porém aplicados de forma irregular.</v>
      </c>
      <c r="G5" s="2" t="str">
        <f t="shared" si="0"/>
        <v>4- Checklists e auditorias aplicados regularmente para correção de desvios.</v>
      </c>
      <c r="H5" s="2" t="str">
        <f t="shared" si="0"/>
        <v>5- Controles sistemáticos, gerando aprendizado e prevenção de falhas.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</row>
    <row r="6" spans="1:14" ht="51" x14ac:dyDescent="0.2">
      <c r="A6" s="1" t="s">
        <v>3</v>
      </c>
      <c r="B6" s="1" t="s">
        <v>32</v>
      </c>
      <c r="C6" s="2" t="s">
        <v>33</v>
      </c>
      <c r="D6" s="2" t="str">
        <f t="shared" si="1"/>
        <v>1- Execução não aderente aos processos definidos.</v>
      </c>
      <c r="E6" s="2" t="str">
        <f t="shared" si="0"/>
        <v>2- Aderência parcial, com desvios frequentes.</v>
      </c>
      <c r="F6" s="2" t="str">
        <f t="shared" si="0"/>
        <v>3- Aderência majoritária, porém instável.</v>
      </c>
      <c r="G6" s="2" t="str">
        <f t="shared" si="0"/>
        <v>4- Alta aderência, com tratamento estruturado de desvios.</v>
      </c>
      <c r="H6" s="2" t="str">
        <f t="shared" si="0"/>
        <v>5- Aderência plena e disciplinada entre processo e execução.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38</v>
      </c>
    </row>
    <row r="7" spans="1:14" ht="34" x14ac:dyDescent="0.2">
      <c r="A7" s="1" t="s">
        <v>3</v>
      </c>
      <c r="B7" s="1" t="s">
        <v>39</v>
      </c>
      <c r="C7" s="2" t="s">
        <v>40</v>
      </c>
      <c r="D7" s="2" t="str">
        <f t="shared" si="1"/>
        <v>1- Inexistência de indicadores de processo.</v>
      </c>
      <c r="E7" s="2" t="str">
        <f t="shared" si="0"/>
        <v>2- Medições pontuais e reativas.</v>
      </c>
      <c r="F7" s="2" t="str">
        <f t="shared" si="0"/>
        <v>3- Indicadores definidos, porém pouco utilizados.</v>
      </c>
      <c r="G7" s="2" t="str">
        <f t="shared" si="0"/>
        <v>4- Medição contínua orientando decisões e melhorias.</v>
      </c>
      <c r="H7" s="2" t="str">
        <f t="shared" si="0"/>
        <v>5- Medição integrada à gestão e ciclos de melhoria contínua.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</row>
    <row r="8" spans="1:14" ht="119" x14ac:dyDescent="0.2">
      <c r="A8" s="1" t="s">
        <v>46</v>
      </c>
      <c r="B8" s="1" t="s">
        <v>47</v>
      </c>
      <c r="C8" s="2" t="s">
        <v>48</v>
      </c>
      <c r="D8" s="2" t="str">
        <f t="shared" si="1"/>
        <v>1- Não existe lógica definida de slotting ou layout. O armazenamento ocorre de forma aleatória, gerando deslocamentos excessivos, congestionamentos e baixa produtividade.</v>
      </c>
      <c r="E8" s="2" t="str">
        <f t="shared" si="0"/>
        <v>2- Existe alguma lógica básica de layout, porém sem critérios claros de giro, peso ou frequência. O fluxo ainda é ineficiente e reativo.</v>
      </c>
      <c r="F8" s="2" t="str">
        <f t="shared" si="0"/>
        <v>3- O layout e o slotting estão definidos, porém com limitações. A organização reduz alguns desperdícios, mas não é revisada com frequência.</v>
      </c>
      <c r="G8" s="2" t="str">
        <f t="shared" si="0"/>
        <v>4- Layout e slotting estruturados, considerando giro, peso e fluxo. Reduz deslocamentos, melhora produtividade e é revisado periodicamente.</v>
      </c>
      <c r="H8" s="2" t="str">
        <f t="shared" si="0"/>
        <v>5- Layout e slotting altamente otimizados, baseados em dados, revisados continuamente e alinhados à estratégia operacional.</v>
      </c>
      <c r="J8" s="1" t="s">
        <v>49</v>
      </c>
      <c r="K8" s="1" t="s">
        <v>50</v>
      </c>
      <c r="L8" s="1" t="s">
        <v>51</v>
      </c>
      <c r="M8" s="1" t="s">
        <v>52</v>
      </c>
      <c r="N8" s="1" t="s">
        <v>53</v>
      </c>
    </row>
    <row r="9" spans="1:14" ht="68" x14ac:dyDescent="0.2">
      <c r="A9" s="1" t="s">
        <v>46</v>
      </c>
      <c r="B9" s="1" t="s">
        <v>54</v>
      </c>
      <c r="C9" s="2" t="s">
        <v>55</v>
      </c>
      <c r="D9" s="2" t="str">
        <f t="shared" si="1"/>
        <v>1- Não existem processos formais de inventário. As informações de estoque são pouco confiáveis.</v>
      </c>
      <c r="E9" s="2" t="str">
        <f t="shared" si="0"/>
        <v>2- Existem contagens pontuais ou inventários esporádicos, com alto índice de divergência.</v>
      </c>
      <c r="F9" s="2" t="str">
        <f t="shared" si="0"/>
        <v>3- Inventários e contagens cíclicas definidos, porém com resultados instáveis e ações corretivas limitadas.</v>
      </c>
      <c r="G9" s="2" t="str">
        <f t="shared" si="0"/>
        <v>4- Processos de contagem estruturados, com boa acuracidade e tratamento sistemático de divergências.</v>
      </c>
      <c r="H9" s="2" t="str">
        <f t="shared" si="0"/>
        <v>5- Acuracidade elevada e estável, com inventário confiável e integrado à gestão e decisão.</v>
      </c>
      <c r="J9" s="1" t="s">
        <v>56</v>
      </c>
      <c r="K9" s="1" t="s">
        <v>57</v>
      </c>
      <c r="L9" s="1" t="s">
        <v>58</v>
      </c>
      <c r="M9" s="1" t="s">
        <v>59</v>
      </c>
      <c r="N9" s="1" t="s">
        <v>60</v>
      </c>
    </row>
    <row r="10" spans="1:14" ht="68" x14ac:dyDescent="0.2">
      <c r="A10" s="1" t="s">
        <v>46</v>
      </c>
      <c r="B10" s="1" t="s">
        <v>61</v>
      </c>
      <c r="C10" s="2" t="s">
        <v>62</v>
      </c>
      <c r="D10" s="2" t="str">
        <f t="shared" si="1"/>
        <v>1- Não existe medição de produtividade. O picking depende de esforço individual.</v>
      </c>
      <c r="E10" s="2" t="str">
        <f t="shared" si="0"/>
        <v>2- A produtividade é percebida de forma empírica, sem metas ou controle estruturado.</v>
      </c>
      <c r="F10" s="2" t="str">
        <f t="shared" si="0"/>
        <v>3- A produtividade é medida, porém com uso limitado e grande variabilidade entre turnos.</v>
      </c>
      <c r="G10" s="2" t="str">
        <f t="shared" si="0"/>
        <v>4- Produtividade acompanhada com indicadores, metas claras e ações de melhoria.</v>
      </c>
      <c r="H10" s="2" t="str">
        <f t="shared" si="0"/>
        <v>5- Alta produtividade estável, com métodos otimizados, padronização e melhoria contínua.</v>
      </c>
      <c r="J10" s="1" t="s">
        <v>63</v>
      </c>
      <c r="K10" s="1" t="s">
        <v>64</v>
      </c>
      <c r="L10" s="1" t="s">
        <v>65</v>
      </c>
      <c r="M10" s="1" t="s">
        <v>66</v>
      </c>
      <c r="N10" s="1" t="s">
        <v>67</v>
      </c>
    </row>
    <row r="11" spans="1:14" ht="51" x14ac:dyDescent="0.2">
      <c r="A11" s="1" t="s">
        <v>46</v>
      </c>
      <c r="B11" s="1" t="s">
        <v>68</v>
      </c>
      <c r="C11" s="2" t="s">
        <v>69</v>
      </c>
      <c r="D11" s="2" t="str">
        <f t="shared" si="1"/>
        <v>1- Não existe controle de tempos entre etapas. O processo é imprevisível.</v>
      </c>
      <c r="E11" s="2" t="str">
        <f t="shared" si="0"/>
        <v>2- Existem estimativas informais de tempo, sem medição consistente.</v>
      </c>
      <c r="F11" s="2" t="str">
        <f t="shared" si="0"/>
        <v>3- Lead times medidos, porém com alta variabilidade e pouca gestão sobre desvios.</v>
      </c>
      <c r="G11" s="2" t="str">
        <f t="shared" si="0"/>
        <v>4- Lead times controlados, com metas, monitoramento e redução de gargalos.</v>
      </c>
      <c r="H11" s="2" t="str">
        <f t="shared" si="0"/>
        <v>5- Lead times previsíveis, estáveis e continuamente otimizados.</v>
      </c>
      <c r="J11" s="1" t="s">
        <v>70</v>
      </c>
      <c r="K11" s="1" t="s">
        <v>71</v>
      </c>
      <c r="L11" s="1" t="s">
        <v>72</v>
      </c>
      <c r="M11" s="1" t="s">
        <v>73</v>
      </c>
      <c r="N11" s="1" t="s">
        <v>74</v>
      </c>
    </row>
    <row r="12" spans="1:14" ht="51" x14ac:dyDescent="0.2">
      <c r="A12" s="1" t="s">
        <v>46</v>
      </c>
      <c r="B12" s="1" t="s">
        <v>75</v>
      </c>
      <c r="C12" s="2" t="s">
        <v>76</v>
      </c>
      <c r="D12" s="2" t="str">
        <f t="shared" si="1"/>
        <v>1- Não existem controles formais de qualidade. Erros são frequentes.</v>
      </c>
      <c r="E12" s="2" t="str">
        <f t="shared" si="0"/>
        <v>2- Controles pontuais ou reativos após reclamações.</v>
      </c>
      <c r="F12" s="2" t="str">
        <f t="shared" si="0"/>
        <v>3- Controles definidos, porém com falhas recorrentes e ações pouco estruturadas.</v>
      </c>
      <c r="G12" s="2" t="str">
        <f t="shared" si="0"/>
        <v>4- Controles eficazes, com redução consistente de erros e ações corretivas.</v>
      </c>
      <c r="H12" s="2" t="str">
        <f t="shared" si="0"/>
        <v>5- Qualidade elevada e estável, com erros raros e aprendizado contínuo.</v>
      </c>
      <c r="J12" s="1" t="s">
        <v>77</v>
      </c>
      <c r="K12" s="1" t="s">
        <v>78</v>
      </c>
      <c r="L12" s="1" t="s">
        <v>79</v>
      </c>
      <c r="M12" s="1" t="s">
        <v>80</v>
      </c>
      <c r="N12" s="1" t="s">
        <v>81</v>
      </c>
    </row>
    <row r="13" spans="1:14" ht="51" x14ac:dyDescent="0.2">
      <c r="A13" s="1" t="s">
        <v>46</v>
      </c>
      <c r="B13" s="1" t="s">
        <v>82</v>
      </c>
      <c r="C13" s="2" t="s">
        <v>83</v>
      </c>
      <c r="D13" s="2" t="str">
        <f t="shared" si="1"/>
        <v>1- Falhas são tratadas apenas de forma emergencial, sem análise estruturada.</v>
      </c>
      <c r="E13" s="2" t="str">
        <f t="shared" si="0"/>
        <v>2- Existe reação às falhas, porém sem registro ou aprendizado.</v>
      </c>
      <c r="F13" s="2" t="str">
        <f t="shared" si="0"/>
        <v>3- Falhas registradas, mas com análise superficial e repetição recorrente.</v>
      </c>
      <c r="G13" s="2" t="str">
        <f t="shared" si="0"/>
        <v>4- Falhas tratadas com método, análise de causa e ações corretivas.</v>
      </c>
      <c r="H13" s="2" t="str">
        <f t="shared" si="0"/>
        <v>5- Gestão madura de exceções, com prevenção, aprendizado e melhoria sistêmica.</v>
      </c>
      <c r="J13" s="1" t="s">
        <v>84</v>
      </c>
      <c r="K13" s="1" t="s">
        <v>85</v>
      </c>
      <c r="L13" s="1" t="s">
        <v>86</v>
      </c>
      <c r="M13" s="1" t="s">
        <v>87</v>
      </c>
      <c r="N13" s="1" t="s">
        <v>88</v>
      </c>
    </row>
    <row r="14" spans="1:14" ht="51" x14ac:dyDescent="0.2">
      <c r="A14" s="1" t="s">
        <v>89</v>
      </c>
      <c r="B14" s="1" t="s">
        <v>90</v>
      </c>
      <c r="C14" s="2" t="s">
        <v>91</v>
      </c>
      <c r="D14" s="2" t="str">
        <f t="shared" si="1"/>
        <v>1- Sistemas não integrados. Informações fragmentadas e controles manuais paralelos.</v>
      </c>
      <c r="E14" s="2" t="str">
        <f t="shared" si="0"/>
        <v>2- Integração pontual ou parcial entre sistemas, com falhas frequentes.</v>
      </c>
      <c r="F14" s="2" t="str">
        <f t="shared" si="0"/>
        <v>3- Sistemas integrados em partes críticas, porém com dependência de planilhas.</v>
      </c>
      <c r="G14" s="2" t="str">
        <f t="shared" si="0"/>
        <v>4- Integração consistente entre ERP, WMS e TMS, com dados confiáveis.</v>
      </c>
      <c r="H14" s="2" t="str">
        <f t="shared" si="0"/>
        <v>5- Integração total, dados em tempo quase real e suporte pleno à decisão.</v>
      </c>
      <c r="J14" s="1" t="s">
        <v>92</v>
      </c>
      <c r="K14" s="1" t="s">
        <v>93</v>
      </c>
      <c r="L14" s="1" t="s">
        <v>94</v>
      </c>
      <c r="M14" s="1" t="s">
        <v>95</v>
      </c>
      <c r="N14" s="1" t="s">
        <v>96</v>
      </c>
    </row>
    <row r="15" spans="1:14" ht="51" x14ac:dyDescent="0.2">
      <c r="A15" s="1" t="s">
        <v>89</v>
      </c>
      <c r="B15" s="1" t="s">
        <v>97</v>
      </c>
      <c r="C15" s="2" t="s">
        <v>98</v>
      </c>
      <c r="D15" s="2" t="str">
        <f t="shared" si="1"/>
        <v>1- Não há rastreamento estruturado de veículos ou cargas.</v>
      </c>
      <c r="E15" s="2" t="str">
        <f t="shared" si="0"/>
        <v>2- Rastreamento limitado, com baixa confiabilidade ou uso esporádico.</v>
      </c>
      <c r="F15" s="2" t="str">
        <f t="shared" si="0"/>
        <v>3- Rastreamento ativo, porém pouco integrado à gestão.</v>
      </c>
      <c r="G15" s="2" t="str">
        <f t="shared" si="0"/>
        <v>4- Rastreamento confiável, integrado à operação e gestão de ocorrências.</v>
      </c>
      <c r="H15" s="2" t="str">
        <f t="shared" si="0"/>
        <v>5- Rastreamento avançado, com análise de dados e prevenção de falhas.</v>
      </c>
      <c r="J15" s="1" t="s">
        <v>99</v>
      </c>
      <c r="K15" s="1" t="s">
        <v>100</v>
      </c>
      <c r="L15" s="1" t="s">
        <v>101</v>
      </c>
      <c r="M15" s="1" t="s">
        <v>102</v>
      </c>
      <c r="N15" s="1" t="s">
        <v>103</v>
      </c>
    </row>
    <row r="16" spans="1:14" ht="51" x14ac:dyDescent="0.2">
      <c r="A16" s="1" t="s">
        <v>89</v>
      </c>
      <c r="B16" s="1" t="s">
        <v>104</v>
      </c>
      <c r="C16" s="2" t="s">
        <v>105</v>
      </c>
      <c r="D16" s="2" t="str">
        <f t="shared" si="1"/>
        <v>1- Processos totalmente manuais e dependentes de esforço humano.</v>
      </c>
      <c r="E16" s="2" t="str">
        <f t="shared" si="0"/>
        <v>2- Automação pontual, sem impacto relevante na produtividade.</v>
      </c>
      <c r="F16" s="2" t="str">
        <f t="shared" si="0"/>
        <v>3- Automação em etapas-chave, porém com limitações.</v>
      </c>
      <c r="G16" s="2" t="str">
        <f t="shared" si="0"/>
        <v>4- Automação consistente, reduzindo erros e aumentando eficiência.</v>
      </c>
      <c r="H16" s="2" t="str">
        <f t="shared" si="0"/>
        <v>5- Automação avançada, integrada e orientada por dados.</v>
      </c>
      <c r="J16" s="1" t="s">
        <v>106</v>
      </c>
      <c r="K16" s="1" t="s">
        <v>107</v>
      </c>
      <c r="L16" s="1" t="s">
        <v>108</v>
      </c>
      <c r="M16" s="1" t="s">
        <v>109</v>
      </c>
      <c r="N16" s="1" t="s">
        <v>110</v>
      </c>
    </row>
    <row r="17" spans="1:14" ht="51" x14ac:dyDescent="0.2">
      <c r="A17" s="1" t="s">
        <v>89</v>
      </c>
      <c r="B17" s="1" t="s">
        <v>111</v>
      </c>
      <c r="C17" s="2" t="s">
        <v>112</v>
      </c>
      <c r="D17" s="2" t="str">
        <f t="shared" si="1"/>
        <v>1- Ausência de dashboards. Informações dispersas e tardias.</v>
      </c>
      <c r="E17" s="2" t="str">
        <f t="shared" si="0"/>
        <v>2- Relatórios manuais, pouco frequentes e pouco confiáveis.</v>
      </c>
      <c r="F17" s="2" t="str">
        <f t="shared" si="0"/>
        <v>3- Dashboards existentes, porém com uso restrito.</v>
      </c>
      <c r="G17" s="2" t="str">
        <f t="shared" si="0"/>
        <v>4- Dashboards confiáveis, atualizados e utilizados na gestão.</v>
      </c>
      <c r="H17" s="2" t="str">
        <f t="shared" si="0"/>
        <v>5- Visualização em tempo real integrada à tomada de decisão.</v>
      </c>
      <c r="J17" s="1" t="s">
        <v>113</v>
      </c>
      <c r="K17" s="1" t="s">
        <v>114</v>
      </c>
      <c r="L17" s="1" t="s">
        <v>115</v>
      </c>
      <c r="M17" s="1" t="s">
        <v>116</v>
      </c>
      <c r="N17" s="1" t="s">
        <v>117</v>
      </c>
    </row>
    <row r="18" spans="1:14" ht="34" x14ac:dyDescent="0.2">
      <c r="A18" s="1" t="s">
        <v>89</v>
      </c>
      <c r="B18" s="1" t="s">
        <v>118</v>
      </c>
      <c r="C18" s="2" t="s">
        <v>119</v>
      </c>
      <c r="D18" s="2" t="str">
        <f t="shared" si="1"/>
        <v>1- Não existe uso analítico dos dados.</v>
      </c>
      <c r="E18" s="2" t="str">
        <f t="shared" ref="E18:E42" si="2">K$1&amp;"- "&amp;K18</f>
        <v>2- Uso básico e descritivo de dados históricos.</v>
      </c>
      <c r="F18" s="2" t="str">
        <f t="shared" ref="F18:F42" si="3">L$1&amp;"- "&amp;L18</f>
        <v>3- Análises exploratórias pontuais.</v>
      </c>
      <c r="G18" s="2" t="str">
        <f t="shared" ref="G18:G42" si="4">M$1&amp;"- "&amp;M18</f>
        <v>4- Uso analítico para antecipar problemas e tendências.</v>
      </c>
      <c r="H18" s="2" t="str">
        <f t="shared" ref="H18:H42" si="5">N$1&amp;"- "&amp;N18</f>
        <v>5- Análise preditiva madura, integrada à estratégia.</v>
      </c>
      <c r="J18" s="1" t="s">
        <v>120</v>
      </c>
      <c r="K18" s="1" t="s">
        <v>121</v>
      </c>
      <c r="L18" s="1" t="s">
        <v>122</v>
      </c>
      <c r="M18" s="1" t="s">
        <v>123</v>
      </c>
      <c r="N18" s="1" t="s">
        <v>124</v>
      </c>
    </row>
    <row r="19" spans="1:14" ht="51" x14ac:dyDescent="0.2">
      <c r="A19" s="1" t="s">
        <v>125</v>
      </c>
      <c r="B19" s="1" t="s">
        <v>126</v>
      </c>
      <c r="C19" s="2" t="s">
        <v>127</v>
      </c>
      <c r="D19" s="2" t="str">
        <f t="shared" si="1"/>
        <v>1- Inexistência de planejamento estratégico. Decisões reativas e de curto prazo.</v>
      </c>
      <c r="E19" s="2" t="str">
        <f t="shared" si="2"/>
        <v>2- Planejamento informal, pouco documentado e sem desdobramento claro.</v>
      </c>
      <c r="F19" s="2" t="str">
        <f t="shared" si="3"/>
        <v>3- Planejamento definido, porém pouco conectado à operação.</v>
      </c>
      <c r="G19" s="2" t="str">
        <f t="shared" si="4"/>
        <v>4- Planejamento estruturado, com metas, recursos e acompanhamento.</v>
      </c>
      <c r="H19" s="2" t="str">
        <f t="shared" si="5"/>
        <v>5- Planejamento estratégico robusto, integrado à operação e revisado continuamente.</v>
      </c>
      <c r="J19" s="1" t="s">
        <v>128</v>
      </c>
      <c r="K19" s="1" t="s">
        <v>129</v>
      </c>
      <c r="L19" s="1" t="s">
        <v>130</v>
      </c>
      <c r="M19" s="1" t="s">
        <v>131</v>
      </c>
      <c r="N19" s="1" t="s">
        <v>132</v>
      </c>
    </row>
    <row r="20" spans="1:14" ht="51" x14ac:dyDescent="0.2">
      <c r="A20" s="1" t="s">
        <v>125</v>
      </c>
      <c r="B20" s="1" t="s">
        <v>133</v>
      </c>
      <c r="C20" s="2" t="s">
        <v>134</v>
      </c>
      <c r="D20" s="2" t="str">
        <f t="shared" si="1"/>
        <v>1- Inexistência de indicadores formais.</v>
      </c>
      <c r="E20" s="2" t="str">
        <f t="shared" si="2"/>
        <v>2- Indicadores pontuais, pouco confiáveis ou pouco utilizados.</v>
      </c>
      <c r="F20" s="2" t="str">
        <f t="shared" si="3"/>
        <v>3- Indicadores definidos, porém com uso restrito.</v>
      </c>
      <c r="G20" s="2" t="str">
        <f t="shared" si="4"/>
        <v>4- Indicadores confiáveis, utilizados regularmente na gestão.</v>
      </c>
      <c r="H20" s="2" t="str">
        <f t="shared" si="5"/>
        <v>5- KPIs integrados à tomada de decisão estratégica e operacional.</v>
      </c>
      <c r="J20" s="1" t="s">
        <v>135</v>
      </c>
      <c r="K20" s="1" t="s">
        <v>136</v>
      </c>
      <c r="L20" s="1" t="s">
        <v>137</v>
      </c>
      <c r="M20" s="1" t="s">
        <v>138</v>
      </c>
      <c r="N20" s="1" t="s">
        <v>139</v>
      </c>
    </row>
    <row r="21" spans="1:14" ht="51" x14ac:dyDescent="0.2">
      <c r="A21" s="1" t="s">
        <v>125</v>
      </c>
      <c r="B21" s="1" t="s">
        <v>140</v>
      </c>
      <c r="C21" s="2" t="s">
        <v>141</v>
      </c>
      <c r="D21" s="2" t="str">
        <f t="shared" si="1"/>
        <v>1- Gestão baseada apenas em cobrança e esforço individual.</v>
      </c>
      <c r="E21" s="2" t="str">
        <f t="shared" si="2"/>
        <v>2- Liderança informal, com pouco desenvolvimento estruturado.</v>
      </c>
      <c r="F21" s="2" t="str">
        <f t="shared" si="3"/>
        <v>3- Gestão estruturada, porém com desenvolvimento limitado.</v>
      </c>
      <c r="G21" s="2" t="str">
        <f t="shared" si="4"/>
        <v>4- Liderança ativa, com acompanhamento e desenvolvimento contínuo.</v>
      </c>
      <c r="H21" s="2" t="str">
        <f t="shared" si="5"/>
        <v>5- Times de alta performance, engajados e desenvolvidos.</v>
      </c>
      <c r="J21" s="1" t="s">
        <v>142</v>
      </c>
      <c r="K21" s="1" t="s">
        <v>143</v>
      </c>
      <c r="L21" s="1" t="s">
        <v>144</v>
      </c>
      <c r="M21" s="1" t="s">
        <v>145</v>
      </c>
      <c r="N21" s="1" t="s">
        <v>146</v>
      </c>
    </row>
    <row r="22" spans="1:14" ht="34" x14ac:dyDescent="0.2">
      <c r="A22" s="1" t="s">
        <v>125</v>
      </c>
      <c r="B22" s="1" t="s">
        <v>147</v>
      </c>
      <c r="C22" s="2" t="s">
        <v>148</v>
      </c>
      <c r="D22" s="2" t="str">
        <f t="shared" si="1"/>
        <v>1- Inexistência de método de melhoria.</v>
      </c>
      <c r="E22" s="2" t="str">
        <f t="shared" si="2"/>
        <v>2- Ações corretivas pontuais e reativas.</v>
      </c>
      <c r="F22" s="2" t="str">
        <f t="shared" si="3"/>
        <v>3- Uso ocasional do PDCA, sem disciplina.</v>
      </c>
      <c r="G22" s="2" t="str">
        <f t="shared" si="4"/>
        <v>4- PDCA aplicado de forma estruturada e recorrente.</v>
      </c>
      <c r="H22" s="2" t="str">
        <f t="shared" si="5"/>
        <v>5- Cultura de melhoria contínua madura e disciplinada.</v>
      </c>
      <c r="J22" s="1" t="s">
        <v>149</v>
      </c>
      <c r="K22" s="1" t="s">
        <v>150</v>
      </c>
      <c r="L22" s="1" t="s">
        <v>151</v>
      </c>
      <c r="M22" s="1" t="s">
        <v>152</v>
      </c>
      <c r="N22" s="1" t="s">
        <v>153</v>
      </c>
    </row>
    <row r="23" spans="1:14" ht="34" x14ac:dyDescent="0.2">
      <c r="A23" s="1" t="s">
        <v>125</v>
      </c>
      <c r="B23" s="1" t="s">
        <v>154</v>
      </c>
      <c r="C23" s="2" t="s">
        <v>155</v>
      </c>
      <c r="D23" s="2" t="str">
        <f t="shared" si="1"/>
        <v>1- Comunicação desestruturada e pouco clara.</v>
      </c>
      <c r="E23" s="2" t="str">
        <f t="shared" si="2"/>
        <v>2- Informações compartilhadas de forma informal.</v>
      </c>
      <c r="F23" s="2" t="str">
        <f t="shared" si="3"/>
        <v>3- Gestão visual existente, porém pouco utilizada.</v>
      </c>
      <c r="G23" s="2" t="str">
        <f t="shared" si="4"/>
        <v>4- Gestão visual clara, utilizada no acompanhamento.</v>
      </c>
      <c r="H23" s="2" t="str">
        <f t="shared" si="5"/>
        <v>5- Comunicação visual integrada à rotina e decisões.</v>
      </c>
      <c r="J23" s="1" t="s">
        <v>156</v>
      </c>
      <c r="K23" s="1" t="s">
        <v>157</v>
      </c>
      <c r="L23" s="1" t="s">
        <v>158</v>
      </c>
      <c r="M23" s="1" t="s">
        <v>159</v>
      </c>
      <c r="N23" s="1" t="s">
        <v>160</v>
      </c>
    </row>
    <row r="24" spans="1:14" ht="34" x14ac:dyDescent="0.2">
      <c r="A24" s="1" t="s">
        <v>125</v>
      </c>
      <c r="B24" s="1" t="s">
        <v>161</v>
      </c>
      <c r="C24" s="2" t="s">
        <v>162</v>
      </c>
      <c r="D24" s="2" t="str">
        <f t="shared" si="1"/>
        <v>1- Inexistência de gestão de riscos.</v>
      </c>
      <c r="E24" s="2" t="str">
        <f t="shared" si="2"/>
        <v>2- Riscos conhecidos, mas não tratados sistematicamente.</v>
      </c>
      <c r="F24" s="2" t="str">
        <f t="shared" si="3"/>
        <v>3- Gestão de riscos parcial e reativa.</v>
      </c>
      <c r="G24" s="2" t="str">
        <f t="shared" si="4"/>
        <v>4- Riscos mapeados, monitorados e mitigados.</v>
      </c>
      <c r="H24" s="2" t="str">
        <f t="shared" si="5"/>
        <v>5- Gestão de riscos madura, integrada à estratégia.</v>
      </c>
      <c r="J24" s="1" t="s">
        <v>163</v>
      </c>
      <c r="K24" s="1" t="s">
        <v>164</v>
      </c>
      <c r="L24" s="1" t="s">
        <v>165</v>
      </c>
      <c r="M24" s="1" t="s">
        <v>166</v>
      </c>
      <c r="N24" s="1" t="s">
        <v>167</v>
      </c>
    </row>
    <row r="25" spans="1:14" ht="51" x14ac:dyDescent="0.2">
      <c r="A25" s="1" t="s">
        <v>168</v>
      </c>
      <c r="B25" s="1" t="s">
        <v>169</v>
      </c>
      <c r="C25" s="2" t="s">
        <v>170</v>
      </c>
      <c r="D25" s="2" t="str">
        <f t="shared" si="1"/>
        <v>1- Não há clareza de responsabilidades. Erros são recorrentes e não assumidos.</v>
      </c>
      <c r="E25" s="2" t="str">
        <f t="shared" si="2"/>
        <v>2- Responsabilidades pouco claras, com transferência frequente de culpa.</v>
      </c>
      <c r="F25" s="2" t="str">
        <f t="shared" si="3"/>
        <v>3- Responsabilidades definidas, porém com baixa cobrança e acompanhamento.</v>
      </c>
      <c r="G25" s="2" t="str">
        <f t="shared" si="4"/>
        <v>4- Responsabilidades claras, com cobrança estruturada e comprometimento.</v>
      </c>
      <c r="H25" s="2" t="str">
        <f t="shared" si="5"/>
        <v>5- Alta accountability, com forte senso de dono e foco em resultados.</v>
      </c>
      <c r="J25" s="1" t="s">
        <v>171</v>
      </c>
      <c r="K25" s="1" t="s">
        <v>172</v>
      </c>
      <c r="L25" s="1" t="s">
        <v>173</v>
      </c>
      <c r="M25" s="1" t="s">
        <v>174</v>
      </c>
      <c r="N25" s="1" t="s">
        <v>175</v>
      </c>
    </row>
    <row r="26" spans="1:14" ht="51" x14ac:dyDescent="0.2">
      <c r="A26" s="1" t="s">
        <v>168</v>
      </c>
      <c r="B26" s="1" t="s">
        <v>176</v>
      </c>
      <c r="C26" s="2" t="s">
        <v>177</v>
      </c>
      <c r="D26" s="2" t="str">
        <f t="shared" si="1"/>
        <v>1- Ausência de disciplina. Rotinas não são seguidas.</v>
      </c>
      <c r="E26" s="2" t="str">
        <f t="shared" si="2"/>
        <v>2- Disciplina pontual, dependente de cobrança direta.</v>
      </c>
      <c r="F26" s="2" t="str">
        <f t="shared" si="3"/>
        <v>3- Rotinas definidas, porém com aderência instável.</v>
      </c>
      <c r="G26" s="2" t="str">
        <f t="shared" si="4"/>
        <v>4- Disciplina consistente, com rotinas seguidas regularmente.</v>
      </c>
      <c r="H26" s="2" t="str">
        <f t="shared" si="5"/>
        <v>5- Disciplina elevada, incorporada à cultura e sustentada no tempo.</v>
      </c>
      <c r="J26" s="1" t="s">
        <v>178</v>
      </c>
      <c r="K26" s="1" t="s">
        <v>179</v>
      </c>
      <c r="L26" s="1" t="s">
        <v>180</v>
      </c>
      <c r="M26" s="1" t="s">
        <v>181</v>
      </c>
      <c r="N26" s="1" t="s">
        <v>182</v>
      </c>
    </row>
    <row r="27" spans="1:14" ht="51" x14ac:dyDescent="0.2">
      <c r="A27" s="1" t="s">
        <v>168</v>
      </c>
      <c r="B27" s="1" t="s">
        <v>183</v>
      </c>
      <c r="C27" s="2" t="s">
        <v>184</v>
      </c>
      <c r="D27" s="2" t="str">
        <f t="shared" si="1"/>
        <v>1- Resistência a mudanças e melhorias.</v>
      </c>
      <c r="E27" s="2" t="str">
        <f t="shared" si="2"/>
        <v>2- Abertura limitada, com adoção lenta de melhorias.</v>
      </c>
      <c r="F27" s="2" t="str">
        <f t="shared" si="3"/>
        <v>3- Melhorias aceitas pontualmente, sem método estruturado.</v>
      </c>
      <c r="G27" s="2" t="str">
        <f t="shared" si="4"/>
        <v>4- Abertura consistente a melhorias e inovações.</v>
      </c>
      <c r="H27" s="2" t="str">
        <f t="shared" si="5"/>
        <v>5- Cultura inovadora, com melhoria contínua incorporada.</v>
      </c>
      <c r="J27" s="1" t="s">
        <v>185</v>
      </c>
      <c r="K27" s="1" t="s">
        <v>186</v>
      </c>
      <c r="L27" s="1" t="s">
        <v>187</v>
      </c>
      <c r="M27" s="1" t="s">
        <v>188</v>
      </c>
      <c r="N27" s="1" t="s">
        <v>189</v>
      </c>
    </row>
    <row r="28" spans="1:14" ht="34" x14ac:dyDescent="0.2">
      <c r="A28" s="1" t="s">
        <v>168</v>
      </c>
      <c r="B28" s="1" t="s">
        <v>190</v>
      </c>
      <c r="C28" s="2" t="s">
        <v>191</v>
      </c>
      <c r="D28" s="2" t="str">
        <f t="shared" si="1"/>
        <v>1- Uso ineficiente do tempo, com atrasos frequentes.</v>
      </c>
      <c r="E28" s="2" t="str">
        <f t="shared" si="2"/>
        <v>2- Gestão de tempo reativa e pouco planejada.</v>
      </c>
      <c r="F28" s="2" t="str">
        <f t="shared" si="3"/>
        <v>3- Planejamento básico do tempo, com falhas recorrentes.</v>
      </c>
      <c r="G28" s="2" t="str">
        <f t="shared" si="4"/>
        <v>4- Boa gestão do tempo, com prioridades claras.</v>
      </c>
      <c r="H28" s="2" t="str">
        <f t="shared" si="5"/>
        <v>5- Gestão do tempo madura, com foco em valor e produtividade.</v>
      </c>
      <c r="J28" s="1" t="s">
        <v>192</v>
      </c>
      <c r="K28" s="1" t="s">
        <v>193</v>
      </c>
      <c r="L28" s="1" t="s">
        <v>194</v>
      </c>
      <c r="M28" s="1" t="s">
        <v>195</v>
      </c>
      <c r="N28" s="1" t="s">
        <v>196</v>
      </c>
    </row>
    <row r="29" spans="1:14" ht="68" x14ac:dyDescent="0.2">
      <c r="A29" s="1" t="s">
        <v>197</v>
      </c>
      <c r="B29" s="1" t="s">
        <v>198</v>
      </c>
      <c r="C29" s="2" t="s">
        <v>199</v>
      </c>
      <c r="D29" s="2" t="str">
        <f t="shared" si="1"/>
        <v>1- A empresa não conhece seus custos unitários. Não há cálculo por m², kg, pedido ou entrega.</v>
      </c>
      <c r="E29" s="2" t="str">
        <f t="shared" si="2"/>
        <v>2- Existem estimativas aproximadas de custos unitários, sem método estruturado ou confiabilidade.</v>
      </c>
      <c r="F29" s="2" t="str">
        <f t="shared" si="3"/>
        <v>3- Custos unitários calculados, porém com baixa granularidade ou atualização esporádica.</v>
      </c>
      <c r="G29" s="2" t="str">
        <f t="shared" si="4"/>
        <v>4- Custos unitários bem definidos, atualizados e utilizados para análise e controle.</v>
      </c>
      <c r="H29" s="2" t="str">
        <f t="shared" si="5"/>
        <v>5- Custos unitários precisos, integrados à gestão e utilizados para decisões estratégicas.</v>
      </c>
      <c r="J29" s="1" t="s">
        <v>200</v>
      </c>
      <c r="K29" s="1" t="s">
        <v>201</v>
      </c>
      <c r="L29" s="1" t="s">
        <v>202</v>
      </c>
      <c r="M29" s="1" t="s">
        <v>203</v>
      </c>
      <c r="N29" s="1" t="s">
        <v>204</v>
      </c>
    </row>
    <row r="30" spans="1:14" ht="51" x14ac:dyDescent="0.2">
      <c r="A30" s="1" t="s">
        <v>197</v>
      </c>
      <c r="B30" s="1" t="s">
        <v>205</v>
      </c>
      <c r="C30" s="2" t="s">
        <v>206</v>
      </c>
      <c r="D30" s="2" t="str">
        <f t="shared" si="1"/>
        <v>1- Não há distinção clara entre custos fixos e variáveis.</v>
      </c>
      <c r="E30" s="2" t="str">
        <f t="shared" si="2"/>
        <v>2- Distinção básica, porém sem controle efetivo ou análise de impacto.</v>
      </c>
      <c r="F30" s="2" t="str">
        <f t="shared" si="3"/>
        <v>3- Custos classificados, mas com uso limitado para gestão.</v>
      </c>
      <c r="G30" s="2" t="str">
        <f t="shared" si="4"/>
        <v>4- Custos fixos e variáveis bem controlados e analisados regularmente.</v>
      </c>
      <c r="H30" s="2" t="str">
        <f t="shared" si="5"/>
        <v>5- Gestão madura de custos, com simulações e decisões baseadas na estrutura de custos.</v>
      </c>
      <c r="J30" s="1" t="s">
        <v>207</v>
      </c>
      <c r="K30" s="1" t="s">
        <v>208</v>
      </c>
      <c r="L30" s="1" t="s">
        <v>209</v>
      </c>
      <c r="M30" s="1" t="s">
        <v>210</v>
      </c>
      <c r="N30" s="1" t="s">
        <v>211</v>
      </c>
    </row>
    <row r="31" spans="1:14" ht="51" x14ac:dyDescent="0.2">
      <c r="A31" s="1" t="s">
        <v>197</v>
      </c>
      <c r="B31" s="1" t="s">
        <v>212</v>
      </c>
      <c r="C31" s="2" t="s">
        <v>213</v>
      </c>
      <c r="D31" s="2" t="str">
        <f t="shared" si="1"/>
        <v>1- A empresa não mede rentabilidade por operação ou centro de custo.</v>
      </c>
      <c r="E31" s="2" t="str">
        <f t="shared" si="2"/>
        <v>2- Rentabilidade analisada apenas em nível global.</v>
      </c>
      <c r="F31" s="2" t="str">
        <f t="shared" si="3"/>
        <v>3- Rentabilidade por operação calculada pontualmente.</v>
      </c>
      <c r="G31" s="2" t="str">
        <f t="shared" si="4"/>
        <v>4- Rentabilidade operacional acompanhada regularmente.</v>
      </c>
      <c r="H31" s="2" t="str">
        <f t="shared" si="5"/>
        <v>5- Rentabilidade integrada à estratégia e tomada de decisão.</v>
      </c>
      <c r="J31" s="1" t="s">
        <v>214</v>
      </c>
      <c r="K31" s="1" t="s">
        <v>215</v>
      </c>
      <c r="L31" s="1" t="s">
        <v>216</v>
      </c>
      <c r="M31" s="1" t="s">
        <v>217</v>
      </c>
      <c r="N31" s="1" t="s">
        <v>218</v>
      </c>
    </row>
    <row r="32" spans="1:14" ht="34" x14ac:dyDescent="0.2">
      <c r="A32" s="1" t="s">
        <v>197</v>
      </c>
      <c r="B32" s="1" t="s">
        <v>219</v>
      </c>
      <c r="C32" s="2" t="s">
        <v>220</v>
      </c>
      <c r="D32" s="2" t="str">
        <f t="shared" si="1"/>
        <v>1- Decisões tomadas sem análise de custo-benefício.</v>
      </c>
      <c r="E32" s="2" t="str">
        <f t="shared" si="2"/>
        <v>2- Análises intuitivas ou superficiais.</v>
      </c>
      <c r="F32" s="2" t="str">
        <f t="shared" si="3"/>
        <v>3- Análises realizadas de forma pontual.</v>
      </c>
      <c r="G32" s="2" t="str">
        <f t="shared" si="4"/>
        <v>4- Análise custo-benefício estruturada antes das decisões.</v>
      </c>
      <c r="H32" s="2" t="str">
        <f t="shared" si="5"/>
        <v>5- Cultura decisória baseada em valor e retorno.</v>
      </c>
      <c r="J32" s="1" t="s">
        <v>221</v>
      </c>
      <c r="K32" s="1" t="s">
        <v>222</v>
      </c>
      <c r="L32" s="1" t="s">
        <v>223</v>
      </c>
      <c r="M32" s="1" t="s">
        <v>224</v>
      </c>
      <c r="N32" s="1" t="s">
        <v>225</v>
      </c>
    </row>
    <row r="33" spans="1:14" ht="68" x14ac:dyDescent="0.2">
      <c r="A33" s="1" t="s">
        <v>226</v>
      </c>
      <c r="B33" s="1" t="s">
        <v>227</v>
      </c>
      <c r="C33" s="2" t="s">
        <v>228</v>
      </c>
      <c r="D33" s="2" t="str">
        <f t="shared" si="1"/>
        <v>1- A empresa não conhece o custo por km rodado. Não há controle econômico do transporte.</v>
      </c>
      <c r="E33" s="2" t="str">
        <f t="shared" si="2"/>
        <v>2- Existem estimativas genéricas de custo por km, sem método estruturado ou confiabilidade.</v>
      </c>
      <c r="F33" s="2" t="str">
        <f t="shared" si="3"/>
        <v>3- Custo por km calculado, porém com atualização esporádica ou baixa granularidade.</v>
      </c>
      <c r="G33" s="2" t="str">
        <f t="shared" si="4"/>
        <v>4- Custo por km bem definido, atualizado e utilizado na gestão e controle do transporte.</v>
      </c>
      <c r="H33" s="2" t="str">
        <f t="shared" si="5"/>
        <v>5- Custo por km preciso, integrado à decisão estratégica, negociação e otimização.</v>
      </c>
      <c r="J33" s="1" t="s">
        <v>229</v>
      </c>
      <c r="K33" s="1" t="s">
        <v>230</v>
      </c>
      <c r="L33" s="1" t="s">
        <v>231</v>
      </c>
      <c r="M33" s="1" t="s">
        <v>232</v>
      </c>
      <c r="N33" s="1" t="s">
        <v>233</v>
      </c>
    </row>
    <row r="34" spans="1:14" ht="68" x14ac:dyDescent="0.2">
      <c r="A34" s="1" t="s">
        <v>226</v>
      </c>
      <c r="B34" s="1" t="s">
        <v>234</v>
      </c>
      <c r="C34" s="2" t="s">
        <v>235</v>
      </c>
      <c r="D34" s="2" t="str">
        <f t="shared" si="1"/>
        <v>1- As rotas são definidas de forma empírica, sem critérios claros.</v>
      </c>
      <c r="E34" s="2" t="str">
        <f t="shared" si="2"/>
        <v>2- Existe alguma lógica básica de roteirização, porém reativa e pouco eficiente.</v>
      </c>
      <c r="F34" s="2" t="str">
        <f t="shared" si="3"/>
        <v>3- Roteirização estruturada, porém com baixa otimização ou revisão esporádica.</v>
      </c>
      <c r="G34" s="2" t="str">
        <f t="shared" si="4"/>
        <v>4- Rotas otimizadas considerando distância, capacidade e restrições operacionais.</v>
      </c>
      <c r="H34" s="2" t="str">
        <f t="shared" si="5"/>
        <v>5- Roteirização avançada, baseada em dados, revisada continuamente e integrada à estratégia.</v>
      </c>
      <c r="J34" s="1" t="s">
        <v>236</v>
      </c>
      <c r="K34" s="1" t="s">
        <v>237</v>
      </c>
      <c r="L34" s="1" t="s">
        <v>238</v>
      </c>
      <c r="M34" s="1" t="s">
        <v>239</v>
      </c>
      <c r="N34" s="1" t="s">
        <v>240</v>
      </c>
    </row>
    <row r="35" spans="1:14" ht="51" x14ac:dyDescent="0.2">
      <c r="A35" s="1" t="s">
        <v>226</v>
      </c>
      <c r="B35" s="1" t="s">
        <v>241</v>
      </c>
      <c r="C35" s="2" t="s">
        <v>242</v>
      </c>
      <c r="D35" s="2" t="str">
        <f t="shared" si="1"/>
        <v>1- Gestão inexistente ou totalmente reativa da frota.</v>
      </c>
      <c r="E35" s="2" t="str">
        <f t="shared" si="2"/>
        <v>2- Gestão básica da frota, com controles limitados e pouca análise.</v>
      </c>
      <c r="F35" s="2" t="str">
        <f t="shared" si="3"/>
        <v>3- Gestão estruturada, porém com uso limitado de indicadores.</v>
      </c>
      <c r="G35" s="2" t="str">
        <f t="shared" si="4"/>
        <v>4- Gestão eficiente da frota, com indicadores, controle e decisões consistentes.</v>
      </c>
      <c r="H35" s="2" t="str">
        <f t="shared" si="5"/>
        <v>5- Gestão madura da frota, integrada a custos, serviço e estratégia.</v>
      </c>
      <c r="J35" s="1" t="s">
        <v>243</v>
      </c>
      <c r="K35" s="1" t="s">
        <v>244</v>
      </c>
      <c r="L35" s="1" t="s">
        <v>245</v>
      </c>
      <c r="M35" s="1" t="s">
        <v>246</v>
      </c>
      <c r="N35" s="1" t="s">
        <v>247</v>
      </c>
    </row>
    <row r="36" spans="1:14" ht="51" x14ac:dyDescent="0.2">
      <c r="A36" s="1" t="s">
        <v>226</v>
      </c>
      <c r="B36" s="1" t="s">
        <v>248</v>
      </c>
      <c r="C36" s="2" t="s">
        <v>249</v>
      </c>
      <c r="D36" s="2" t="str">
        <f t="shared" si="1"/>
        <v>1- O nível de serviço não é medido. Atrasos são frequentes.</v>
      </c>
      <c r="E36" s="2" t="str">
        <f t="shared" si="2"/>
        <v>2- O nível de serviço é percebido, mas não medido sistematicamente.</v>
      </c>
      <c r="F36" s="2" t="str">
        <f t="shared" si="3"/>
        <v>3- O nível de serviço é medido, porém com falhas recorrentes.</v>
      </c>
      <c r="G36" s="2" t="str">
        <f t="shared" si="4"/>
        <v>4- Bom nível de serviço, acompanhado e com ações corretivas.</v>
      </c>
      <c r="H36" s="2" t="str">
        <f t="shared" si="5"/>
        <v>5- Alto nível de serviço, estável e sustentado por método.</v>
      </c>
      <c r="J36" s="1" t="s">
        <v>250</v>
      </c>
      <c r="K36" s="1" t="s">
        <v>251</v>
      </c>
      <c r="L36" s="1" t="s">
        <v>252</v>
      </c>
      <c r="M36" s="1" t="s">
        <v>253</v>
      </c>
      <c r="N36" s="1" t="s">
        <v>254</v>
      </c>
    </row>
    <row r="37" spans="1:14" ht="51" x14ac:dyDescent="0.2">
      <c r="A37" s="1" t="s">
        <v>226</v>
      </c>
      <c r="B37" s="1" t="s">
        <v>98</v>
      </c>
      <c r="C37" s="2" t="s">
        <v>255</v>
      </c>
      <c r="D37" s="2" t="str">
        <f t="shared" si="1"/>
        <v>1- Não existe monitoramento veicular estruturado.</v>
      </c>
      <c r="E37" s="2" t="str">
        <f t="shared" si="2"/>
        <v>2- Monitoramento pontual ou pouco confiável.</v>
      </c>
      <c r="F37" s="2" t="str">
        <f t="shared" si="3"/>
        <v>3- Telemetria utilizada, porém com baixo uso gerencial.</v>
      </c>
      <c r="G37" s="2" t="str">
        <f t="shared" si="4"/>
        <v>4- Telemetria integrada à gestão e ao controle operacional.</v>
      </c>
      <c r="H37" s="2" t="str">
        <f t="shared" si="5"/>
        <v>5- Uso avançado de telemetria para prevenção, segurança e eficiência.</v>
      </c>
      <c r="J37" s="1" t="s">
        <v>256</v>
      </c>
      <c r="K37" s="1" t="s">
        <v>257</v>
      </c>
      <c r="L37" s="1" t="s">
        <v>258</v>
      </c>
      <c r="M37" s="1" t="s">
        <v>259</v>
      </c>
      <c r="N37" s="1" t="s">
        <v>260</v>
      </c>
    </row>
    <row r="38" spans="1:14" ht="51" x14ac:dyDescent="0.2">
      <c r="A38" s="1" t="s">
        <v>261</v>
      </c>
      <c r="B38" s="1" t="s">
        <v>262</v>
      </c>
      <c r="C38" s="2" t="s">
        <v>263</v>
      </c>
      <c r="D38" s="2" t="str">
        <f t="shared" si="1"/>
        <v>1- Não existem estratégias definidas de estoque. Reposição reativa e sem critérios.</v>
      </c>
      <c r="E38" s="2" t="str">
        <f t="shared" si="2"/>
        <v>2- Existem regras básicas de reposição, porém pouco estruturadas.</v>
      </c>
      <c r="F38" s="2" t="str">
        <f t="shared" si="3"/>
        <v>3- Estratégias definidas, mas com baixa aderência ou revisão esporádica.</v>
      </c>
      <c r="G38" s="2" t="str">
        <f t="shared" si="4"/>
        <v>4- Estratégias claras de estoque, com níveis e reposição bem definidos.</v>
      </c>
      <c r="H38" s="2" t="str">
        <f t="shared" si="5"/>
        <v>5- Gestão estratégica de estoques integrada à demanda, custo e serviço.</v>
      </c>
      <c r="J38" s="1" t="s">
        <v>264</v>
      </c>
      <c r="K38" s="1" t="s">
        <v>265</v>
      </c>
      <c r="L38" s="1" t="s">
        <v>266</v>
      </c>
      <c r="M38" s="1" t="s">
        <v>267</v>
      </c>
      <c r="N38" s="1" t="s">
        <v>268</v>
      </c>
    </row>
    <row r="39" spans="1:14" ht="51" x14ac:dyDescent="0.2">
      <c r="A39" s="1" t="s">
        <v>261</v>
      </c>
      <c r="B39" s="1" t="s">
        <v>269</v>
      </c>
      <c r="C39" s="2" t="s">
        <v>270</v>
      </c>
      <c r="D39" s="2" t="str">
        <f t="shared" si="1"/>
        <v>1- Inventário pouco confiável, com divergências frequentes.</v>
      </c>
      <c r="E39" s="2" t="str">
        <f t="shared" si="2"/>
        <v>2- Controles básicos de estoque, com alta variabilidade.</v>
      </c>
      <c r="F39" s="2" t="str">
        <f t="shared" si="3"/>
        <v>3- Inventário estruturado, porém com inconsistências recorrentes.</v>
      </c>
      <c r="G39" s="2" t="str">
        <f t="shared" si="4"/>
        <v>4- Alta acuracidade de estoque, com controle e correção sistemática.</v>
      </c>
      <c r="H39" s="2" t="str">
        <f t="shared" si="5"/>
        <v>5- Acuracidade elevada e estável, integrada à gestão e decisão.</v>
      </c>
      <c r="J39" s="1" t="s">
        <v>271</v>
      </c>
      <c r="K39" s="1" t="s">
        <v>272</v>
      </c>
      <c r="L39" s="1" t="s">
        <v>273</v>
      </c>
      <c r="M39" s="1" t="s">
        <v>274</v>
      </c>
      <c r="N39" s="1" t="s">
        <v>275</v>
      </c>
    </row>
    <row r="40" spans="1:14" ht="51" x14ac:dyDescent="0.2">
      <c r="A40" s="1" t="s">
        <v>261</v>
      </c>
      <c r="B40" s="1" t="s">
        <v>276</v>
      </c>
      <c r="C40" s="2" t="s">
        <v>277</v>
      </c>
      <c r="D40" s="2" t="str">
        <f t="shared" si="1"/>
        <v>1- Rupturas frequentes e tratadas apenas de forma emergencial.</v>
      </c>
      <c r="E40" s="2" t="str">
        <f t="shared" si="2"/>
        <v>2- Rupturas conhecidas, porém sem análise estruturada.</v>
      </c>
      <c r="F40" s="2" t="str">
        <f t="shared" si="3"/>
        <v>3- Rupturas monitoradas, mas com ações corretivas limitadas.</v>
      </c>
      <c r="G40" s="2" t="str">
        <f t="shared" si="4"/>
        <v>4- Gestão estruturada de rupturas, com prevenção e correção.</v>
      </c>
      <c r="H40" s="2" t="str">
        <f t="shared" si="5"/>
        <v>5- Rupturas raras, com gestão preditiva e aprendizado contínuo.</v>
      </c>
      <c r="J40" s="1" t="s">
        <v>278</v>
      </c>
      <c r="K40" s="1" t="s">
        <v>279</v>
      </c>
      <c r="L40" s="1" t="s">
        <v>280</v>
      </c>
      <c r="M40" s="1" t="s">
        <v>281</v>
      </c>
      <c r="N40" s="1" t="s">
        <v>282</v>
      </c>
    </row>
    <row r="41" spans="1:14" ht="34" x14ac:dyDescent="0.2">
      <c r="A41" s="1" t="s">
        <v>261</v>
      </c>
      <c r="B41" s="1" t="s">
        <v>283</v>
      </c>
      <c r="C41" s="2" t="s">
        <v>284</v>
      </c>
      <c r="D41" s="2" t="str">
        <f t="shared" si="1"/>
        <v>1- Não existe controle de giro ou produtos obsoletos.</v>
      </c>
      <c r="E41" s="2" t="str">
        <f t="shared" si="2"/>
        <v>2- Giro percebido de forma empírica.</v>
      </c>
      <c r="F41" s="2" t="str">
        <f t="shared" si="3"/>
        <v>3- Giro medido, porém com uso limitado para decisão.</v>
      </c>
      <c r="G41" s="2" t="str">
        <f t="shared" si="4"/>
        <v>4- Giro acompanhado e utilizado para ajustes de estoque.</v>
      </c>
      <c r="H41" s="2" t="str">
        <f t="shared" si="5"/>
        <v>5- Giro otimizado, alinhado à estratégia e rentabilidade.</v>
      </c>
      <c r="J41" s="1" t="s">
        <v>285</v>
      </c>
      <c r="K41" s="1" t="s">
        <v>286</v>
      </c>
      <c r="L41" s="1" t="s">
        <v>287</v>
      </c>
      <c r="M41" s="1" t="s">
        <v>288</v>
      </c>
      <c r="N41" s="1" t="s">
        <v>289</v>
      </c>
    </row>
    <row r="42" spans="1:14" ht="51" x14ac:dyDescent="0.2">
      <c r="A42" s="1" t="s">
        <v>261</v>
      </c>
      <c r="B42" s="1" t="s">
        <v>290</v>
      </c>
      <c r="C42" s="2" t="s">
        <v>291</v>
      </c>
      <c r="D42" s="2" t="str">
        <f t="shared" si="1"/>
        <v>1- Armazenamento desorganizado, sem método definido.</v>
      </c>
      <c r="E42" s="2" t="str">
        <f t="shared" si="2"/>
        <v>2- Métodos básicos de armazenamento, pouco otimizados.</v>
      </c>
      <c r="F42" s="2" t="str">
        <f t="shared" si="3"/>
        <v>3- Métodos definidos, porém com uso ineficiente do espaço.</v>
      </c>
      <c r="G42" s="2" t="str">
        <f t="shared" si="4"/>
        <v>4- Armazenamento organizado, com boa utilização do espaço.</v>
      </c>
      <c r="H42" s="2" t="str">
        <f t="shared" si="5"/>
        <v>5- Métodos avançados, maximizando espaço, fluxo e produtividade.</v>
      </c>
      <c r="J42" s="1" t="s">
        <v>292</v>
      </c>
      <c r="K42" s="1" t="s">
        <v>293</v>
      </c>
      <c r="L42" s="1" t="s">
        <v>294</v>
      </c>
      <c r="M42" s="1" t="s">
        <v>295</v>
      </c>
      <c r="N42" s="1" t="s">
        <v>296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F0DB-8755-CF47-95A5-E9AD40B4B048}">
  <dimension ref="A1:S87"/>
  <sheetViews>
    <sheetView showGridLines="0" zoomScale="117" zoomScaleNormal="117" workbookViewId="0">
      <selection activeCell="B3" sqref="B3"/>
    </sheetView>
  </sheetViews>
  <sheetFormatPr baseColWidth="10" defaultRowHeight="16" x14ac:dyDescent="0.2"/>
  <cols>
    <col min="1" max="1" width="4.5" customWidth="1"/>
    <col min="2" max="2" width="2.6640625" customWidth="1"/>
    <col min="3" max="3" width="19.83203125" bestFit="1" customWidth="1"/>
    <col min="4" max="4" width="10.83203125" style="4"/>
    <col min="15" max="15" width="7.6640625" customWidth="1"/>
    <col min="16" max="16" width="5.1640625" customWidth="1"/>
  </cols>
  <sheetData>
    <row r="1" spans="1:19" ht="27" x14ac:dyDescent="0.2">
      <c r="A1" s="27" t="s">
        <v>308</v>
      </c>
      <c r="B1" s="28"/>
      <c r="C1" s="27"/>
      <c r="D1" s="28"/>
      <c r="E1" s="28"/>
      <c r="F1" s="29"/>
      <c r="G1" s="30"/>
      <c r="H1" s="30"/>
      <c r="I1" s="29"/>
      <c r="J1" s="29"/>
      <c r="K1" s="31"/>
      <c r="L1" s="26"/>
      <c r="M1" s="26"/>
      <c r="N1" s="26"/>
      <c r="O1" s="26"/>
      <c r="P1" s="26"/>
      <c r="Q1" s="26"/>
      <c r="R1" s="26"/>
      <c r="S1" s="26"/>
    </row>
    <row r="2" spans="1:19" ht="22" x14ac:dyDescent="0.2">
      <c r="A2" s="33" t="s">
        <v>309</v>
      </c>
      <c r="B2" s="34"/>
      <c r="C2" s="33"/>
      <c r="D2" s="34"/>
      <c r="E2" s="34"/>
      <c r="F2" s="35"/>
      <c r="G2" s="36"/>
      <c r="H2" s="36"/>
      <c r="I2" s="35"/>
      <c r="J2" s="35"/>
      <c r="K2" s="37"/>
      <c r="L2" s="32"/>
      <c r="M2" s="32"/>
      <c r="N2" s="32"/>
      <c r="O2" s="32"/>
      <c r="P2" s="32"/>
      <c r="Q2" s="32"/>
      <c r="R2" s="32"/>
      <c r="S2" s="32"/>
    </row>
    <row r="3" spans="1:19" x14ac:dyDescent="0.2">
      <c r="A3" s="39" t="s">
        <v>307</v>
      </c>
      <c r="B3" s="39"/>
      <c r="C3" s="39"/>
      <c r="D3" s="39"/>
      <c r="E3" s="39"/>
      <c r="F3" s="40"/>
      <c r="G3" s="41"/>
      <c r="H3" s="41"/>
      <c r="I3" s="40"/>
      <c r="J3" s="40"/>
      <c r="K3" s="42"/>
      <c r="L3" s="38"/>
      <c r="M3" s="38"/>
      <c r="N3" s="38"/>
      <c r="O3" s="43"/>
      <c r="P3" s="38"/>
      <c r="Q3" s="38"/>
      <c r="R3" s="38"/>
      <c r="S3" s="38"/>
    </row>
    <row r="4" spans="1:19" ht="6" customHeight="1" x14ac:dyDescent="0.2"/>
    <row r="5" spans="1:19" ht="6" customHeight="1" x14ac:dyDescent="0.2"/>
    <row r="6" spans="1:19" ht="6" customHeight="1" thickBot="1" x14ac:dyDescent="0.25"/>
    <row r="7" spans="1:19" ht="17" thickTop="1" x14ac:dyDescent="0.2">
      <c r="B7" s="44"/>
      <c r="C7" s="45"/>
      <c r="D7" s="46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50"/>
    </row>
    <row r="8" spans="1:19" x14ac:dyDescent="0.2">
      <c r="B8" s="47"/>
      <c r="D8" s="48"/>
      <c r="P8" s="51"/>
    </row>
    <row r="9" spans="1:19" x14ac:dyDescent="0.2">
      <c r="B9" s="47"/>
      <c r="C9" s="20" t="s">
        <v>0</v>
      </c>
      <c r="D9" s="21" t="s">
        <v>303</v>
      </c>
      <c r="P9" s="51"/>
    </row>
    <row r="10" spans="1:19" x14ac:dyDescent="0.2">
      <c r="B10" s="47"/>
      <c r="C10" s="22" t="s">
        <v>3</v>
      </c>
      <c r="D10" s="23">
        <f>SUMIF(Distribuidor!$B$2:$B$42,'Rate Geral'!$C10,Distribuidor!$H$2:$H$42)/COUNTIF(Distribuidor!$B$2:$B$42,'Rate Geral'!C10)</f>
        <v>0</v>
      </c>
      <c r="P10" s="51"/>
    </row>
    <row r="11" spans="1:19" x14ac:dyDescent="0.2">
      <c r="B11" s="47"/>
      <c r="C11" s="22" t="s">
        <v>46</v>
      </c>
      <c r="D11" s="23">
        <f>SUMIF(Distribuidor!$B$2:$B$42,'Rate Geral'!$C11,Distribuidor!$H$2:$H$42)/COUNTIF(Distribuidor!$B$2:$B$42,'Rate Geral'!C11)</f>
        <v>0</v>
      </c>
      <c r="P11" s="51"/>
    </row>
    <row r="12" spans="1:19" x14ac:dyDescent="0.2">
      <c r="B12" s="47"/>
      <c r="C12" s="22" t="s">
        <v>89</v>
      </c>
      <c r="D12" s="23">
        <f>SUMIF(Distribuidor!$B$2:$B$42,'Rate Geral'!$C12,Distribuidor!$H$2:$H$42)/COUNTIF(Distribuidor!$B$2:$B$42,'Rate Geral'!C12)</f>
        <v>0</v>
      </c>
      <c r="P12" s="51"/>
    </row>
    <row r="13" spans="1:19" x14ac:dyDescent="0.2">
      <c r="B13" s="47"/>
      <c r="C13" s="22" t="s">
        <v>125</v>
      </c>
      <c r="D13" s="23">
        <f>SUMIF(Distribuidor!$B$2:$B$42,'Rate Geral'!$C13,Distribuidor!$H$2:$H$42)/COUNTIF(Distribuidor!$B$2:$B$42,'Rate Geral'!C13)</f>
        <v>0</v>
      </c>
      <c r="P13" s="51"/>
    </row>
    <row r="14" spans="1:19" x14ac:dyDescent="0.2">
      <c r="B14" s="47"/>
      <c r="C14" s="22" t="s">
        <v>168</v>
      </c>
      <c r="D14" s="23">
        <f>SUMIF(Distribuidor!$B$2:$B$42,'Rate Geral'!$C14,Distribuidor!$H$2:$H$42)/COUNTIF(Distribuidor!$B$2:$B$42,'Rate Geral'!C14)</f>
        <v>0</v>
      </c>
      <c r="P14" s="51"/>
    </row>
    <row r="15" spans="1:19" x14ac:dyDescent="0.2">
      <c r="B15" s="47"/>
      <c r="C15" s="22" t="s">
        <v>197</v>
      </c>
      <c r="D15" s="23">
        <f>SUMIF(Distribuidor!$B$2:$B$42,'Rate Geral'!$C15,Distribuidor!$H$2:$H$42)/COUNTIF(Distribuidor!$B$2:$B$42,'Rate Geral'!C15)</f>
        <v>0</v>
      </c>
      <c r="P15" s="51"/>
    </row>
    <row r="16" spans="1:19" x14ac:dyDescent="0.2">
      <c r="B16" s="47"/>
      <c r="C16" s="22" t="s">
        <v>226</v>
      </c>
      <c r="D16" s="23">
        <f>SUMIF(Distribuidor!$B$2:$B$42,'Rate Geral'!$C16,Distribuidor!$H$2:$H$42)/COUNTIF(Distribuidor!$B$2:$B$42,'Rate Geral'!C16)</f>
        <v>0</v>
      </c>
      <c r="P16" s="51"/>
    </row>
    <row r="17" spans="2:16" x14ac:dyDescent="0.2">
      <c r="B17" s="47"/>
      <c r="C17" s="22" t="s">
        <v>261</v>
      </c>
      <c r="D17" s="23">
        <f>SUMIF(Distribuidor!$B$2:$B$42,'Rate Geral'!$C17,Distribuidor!$H$2:$H$42)/COUNTIF(Distribuidor!$B$2:$B$42,'Rate Geral'!C17)</f>
        <v>0</v>
      </c>
      <c r="P17" s="51"/>
    </row>
    <row r="18" spans="2:16" ht="22" x14ac:dyDescent="0.3">
      <c r="B18" s="47"/>
      <c r="C18" s="24" t="s">
        <v>305</v>
      </c>
      <c r="D18" s="25">
        <f>SUM(Distribuidor!G2:G42)</f>
        <v>0</v>
      </c>
      <c r="E18" s="48">
        <f>5-D18</f>
        <v>5</v>
      </c>
      <c r="F18" s="5">
        <f>10-D18-E18</f>
        <v>5</v>
      </c>
      <c r="P18" s="51"/>
    </row>
    <row r="19" spans="2:16" x14ac:dyDescent="0.2">
      <c r="B19" s="47"/>
      <c r="D19" s="48"/>
      <c r="P19" s="51"/>
    </row>
    <row r="20" spans="2:16" x14ac:dyDescent="0.2">
      <c r="B20" s="47"/>
      <c r="D20" s="48"/>
      <c r="P20" s="51"/>
    </row>
    <row r="21" spans="2:16" ht="17" thickBot="1" x14ac:dyDescent="0.25">
      <c r="B21" s="53"/>
      <c r="C21" s="54"/>
      <c r="D21" s="55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6"/>
    </row>
    <row r="22" spans="2:16" ht="18" thickTop="1" thickBot="1" x14ac:dyDescent="0.25"/>
    <row r="23" spans="2:16" ht="17" thickTop="1" x14ac:dyDescent="0.2">
      <c r="B23" s="44"/>
      <c r="C23" s="49" t="s">
        <v>313</v>
      </c>
      <c r="D23" s="46"/>
      <c r="E23" s="45"/>
      <c r="F23" s="45"/>
      <c r="G23" s="45"/>
      <c r="H23" s="45"/>
      <c r="I23" s="49" t="s">
        <v>314</v>
      </c>
      <c r="J23" s="45"/>
      <c r="K23" s="45"/>
      <c r="L23" s="45"/>
      <c r="M23" s="45"/>
      <c r="N23" s="45"/>
      <c r="O23" s="45"/>
      <c r="P23" s="50"/>
    </row>
    <row r="24" spans="2:16" x14ac:dyDescent="0.2">
      <c r="B24" s="47"/>
      <c r="D24" s="48"/>
      <c r="P24" s="51"/>
    </row>
    <row r="25" spans="2:16" x14ac:dyDescent="0.2">
      <c r="B25" s="47"/>
      <c r="D25" s="48"/>
      <c r="P25" s="51"/>
    </row>
    <row r="26" spans="2:16" x14ac:dyDescent="0.2">
      <c r="B26" s="47"/>
      <c r="D26" s="48"/>
      <c r="P26" s="51"/>
    </row>
    <row r="27" spans="2:16" x14ac:dyDescent="0.2">
      <c r="B27" s="47"/>
      <c r="D27" s="48"/>
      <c r="P27" s="51"/>
    </row>
    <row r="28" spans="2:16" x14ac:dyDescent="0.2">
      <c r="B28" s="47"/>
      <c r="D28" s="48"/>
      <c r="P28" s="51"/>
    </row>
    <row r="29" spans="2:16" x14ac:dyDescent="0.2">
      <c r="B29" s="47"/>
      <c r="D29" s="48"/>
      <c r="P29" s="51"/>
    </row>
    <row r="30" spans="2:16" x14ac:dyDescent="0.2">
      <c r="B30" s="47"/>
      <c r="D30" s="48"/>
      <c r="P30" s="51"/>
    </row>
    <row r="31" spans="2:16" x14ac:dyDescent="0.2">
      <c r="B31" s="47"/>
      <c r="D31" s="48"/>
      <c r="P31" s="51"/>
    </row>
    <row r="32" spans="2:16" x14ac:dyDescent="0.2">
      <c r="B32" s="47"/>
      <c r="D32" s="48"/>
      <c r="P32" s="51"/>
    </row>
    <row r="33" spans="2:16" x14ac:dyDescent="0.2">
      <c r="B33" s="47"/>
      <c r="D33" s="48"/>
      <c r="P33" s="51"/>
    </row>
    <row r="34" spans="2:16" x14ac:dyDescent="0.2">
      <c r="B34" s="47"/>
      <c r="D34" s="48"/>
      <c r="P34" s="51"/>
    </row>
    <row r="35" spans="2:16" x14ac:dyDescent="0.2">
      <c r="B35" s="47"/>
      <c r="D35" s="48"/>
      <c r="P35" s="51"/>
    </row>
    <row r="36" spans="2:16" x14ac:dyDescent="0.2">
      <c r="B36" s="47"/>
      <c r="D36" s="48"/>
      <c r="P36" s="51"/>
    </row>
    <row r="37" spans="2:16" x14ac:dyDescent="0.2">
      <c r="B37" s="47"/>
      <c r="D37" s="48"/>
      <c r="P37" s="51"/>
    </row>
    <row r="38" spans="2:16" x14ac:dyDescent="0.2">
      <c r="B38" s="47"/>
      <c r="D38" s="48"/>
      <c r="P38" s="51"/>
    </row>
    <row r="39" spans="2:16" x14ac:dyDescent="0.2">
      <c r="B39" s="47"/>
      <c r="C39" s="52" t="s">
        <v>315</v>
      </c>
      <c r="D39" s="48"/>
      <c r="I39" s="52" t="s">
        <v>316</v>
      </c>
      <c r="P39" s="51"/>
    </row>
    <row r="40" spans="2:16" x14ac:dyDescent="0.2">
      <c r="B40" s="47"/>
      <c r="D40" s="48"/>
      <c r="P40" s="51"/>
    </row>
    <row r="41" spans="2:16" x14ac:dyDescent="0.2">
      <c r="B41" s="47"/>
      <c r="D41" s="48"/>
      <c r="P41" s="51"/>
    </row>
    <row r="42" spans="2:16" x14ac:dyDescent="0.2">
      <c r="B42" s="47"/>
      <c r="D42" s="48"/>
      <c r="P42" s="51"/>
    </row>
    <row r="43" spans="2:16" x14ac:dyDescent="0.2">
      <c r="B43" s="47"/>
      <c r="D43" s="48"/>
      <c r="P43" s="51"/>
    </row>
    <row r="44" spans="2:16" x14ac:dyDescent="0.2">
      <c r="B44" s="47"/>
      <c r="D44" s="48"/>
      <c r="P44" s="51"/>
    </row>
    <row r="45" spans="2:16" x14ac:dyDescent="0.2">
      <c r="B45" s="47"/>
      <c r="D45" s="48"/>
      <c r="P45" s="51"/>
    </row>
    <row r="46" spans="2:16" x14ac:dyDescent="0.2">
      <c r="B46" s="47"/>
      <c r="D46" s="48"/>
      <c r="P46" s="51"/>
    </row>
    <row r="47" spans="2:16" x14ac:dyDescent="0.2">
      <c r="B47" s="47"/>
      <c r="D47" s="48"/>
      <c r="P47" s="51"/>
    </row>
    <row r="48" spans="2:16" x14ac:dyDescent="0.2">
      <c r="B48" s="47"/>
      <c r="D48" s="48"/>
      <c r="P48" s="51"/>
    </row>
    <row r="49" spans="2:16" x14ac:dyDescent="0.2">
      <c r="B49" s="47"/>
      <c r="D49" s="48"/>
      <c r="P49" s="51"/>
    </row>
    <row r="50" spans="2:16" x14ac:dyDescent="0.2">
      <c r="B50" s="47"/>
      <c r="D50" s="48"/>
      <c r="P50" s="51"/>
    </row>
    <row r="51" spans="2:16" x14ac:dyDescent="0.2">
      <c r="B51" s="47"/>
      <c r="D51" s="48"/>
      <c r="P51" s="51"/>
    </row>
    <row r="52" spans="2:16" x14ac:dyDescent="0.2">
      <c r="B52" s="47"/>
      <c r="D52" s="48"/>
      <c r="P52" s="51"/>
    </row>
    <row r="53" spans="2:16" x14ac:dyDescent="0.2">
      <c r="B53" s="47"/>
      <c r="D53" s="48"/>
      <c r="P53" s="51"/>
    </row>
    <row r="54" spans="2:16" x14ac:dyDescent="0.2">
      <c r="B54" s="47"/>
      <c r="D54" s="48"/>
      <c r="P54" s="51"/>
    </row>
    <row r="55" spans="2:16" x14ac:dyDescent="0.2">
      <c r="B55" s="47"/>
      <c r="C55" s="52" t="s">
        <v>317</v>
      </c>
      <c r="D55" s="48"/>
      <c r="I55" s="52" t="s">
        <v>318</v>
      </c>
      <c r="P55" s="51"/>
    </row>
    <row r="56" spans="2:16" x14ac:dyDescent="0.2">
      <c r="B56" s="47"/>
      <c r="D56" s="48"/>
      <c r="P56" s="51"/>
    </row>
    <row r="57" spans="2:16" x14ac:dyDescent="0.2">
      <c r="B57" s="47"/>
      <c r="D57" s="48"/>
      <c r="P57" s="51"/>
    </row>
    <row r="58" spans="2:16" x14ac:dyDescent="0.2">
      <c r="B58" s="47"/>
      <c r="D58" s="48"/>
      <c r="P58" s="51"/>
    </row>
    <row r="59" spans="2:16" x14ac:dyDescent="0.2">
      <c r="B59" s="47"/>
      <c r="D59" s="48"/>
      <c r="P59" s="51"/>
    </row>
    <row r="60" spans="2:16" x14ac:dyDescent="0.2">
      <c r="B60" s="47"/>
      <c r="D60" s="48"/>
      <c r="P60" s="51"/>
    </row>
    <row r="61" spans="2:16" x14ac:dyDescent="0.2">
      <c r="B61" s="47"/>
      <c r="D61" s="48"/>
      <c r="P61" s="51"/>
    </row>
    <row r="62" spans="2:16" x14ac:dyDescent="0.2">
      <c r="B62" s="47"/>
      <c r="D62" s="48"/>
      <c r="P62" s="51"/>
    </row>
    <row r="63" spans="2:16" x14ac:dyDescent="0.2">
      <c r="B63" s="47"/>
      <c r="D63" s="48"/>
      <c r="P63" s="51"/>
    </row>
    <row r="64" spans="2:16" x14ac:dyDescent="0.2">
      <c r="B64" s="47"/>
      <c r="D64" s="48"/>
      <c r="P64" s="51"/>
    </row>
    <row r="65" spans="2:16" x14ac:dyDescent="0.2">
      <c r="B65" s="47"/>
      <c r="D65" s="48"/>
      <c r="P65" s="51"/>
    </row>
    <row r="66" spans="2:16" x14ac:dyDescent="0.2">
      <c r="B66" s="47"/>
      <c r="D66" s="48"/>
      <c r="P66" s="51"/>
    </row>
    <row r="67" spans="2:16" x14ac:dyDescent="0.2">
      <c r="B67" s="47"/>
      <c r="D67" s="48"/>
      <c r="P67" s="51"/>
    </row>
    <row r="68" spans="2:16" x14ac:dyDescent="0.2">
      <c r="B68" s="47"/>
      <c r="D68" s="48"/>
      <c r="P68" s="51"/>
    </row>
    <row r="69" spans="2:16" x14ac:dyDescent="0.2">
      <c r="B69" s="47"/>
      <c r="D69" s="48"/>
      <c r="P69" s="51"/>
    </row>
    <row r="70" spans="2:16" x14ac:dyDescent="0.2">
      <c r="B70" s="47"/>
      <c r="D70" s="48"/>
      <c r="P70" s="51"/>
    </row>
    <row r="71" spans="2:16" x14ac:dyDescent="0.2">
      <c r="B71" s="47"/>
      <c r="C71" s="52" t="s">
        <v>319</v>
      </c>
      <c r="D71" s="48"/>
      <c r="I71" s="52" t="s">
        <v>320</v>
      </c>
      <c r="P71" s="51"/>
    </row>
    <row r="72" spans="2:16" x14ac:dyDescent="0.2">
      <c r="B72" s="47"/>
      <c r="D72" s="48"/>
      <c r="P72" s="51"/>
    </row>
    <row r="73" spans="2:16" x14ac:dyDescent="0.2">
      <c r="B73" s="47"/>
      <c r="D73" s="48"/>
      <c r="P73" s="51"/>
    </row>
    <row r="74" spans="2:16" x14ac:dyDescent="0.2">
      <c r="B74" s="47"/>
      <c r="D74" s="48"/>
      <c r="P74" s="51"/>
    </row>
    <row r="75" spans="2:16" x14ac:dyDescent="0.2">
      <c r="B75" s="47"/>
      <c r="D75" s="48"/>
      <c r="P75" s="51"/>
    </row>
    <row r="76" spans="2:16" x14ac:dyDescent="0.2">
      <c r="B76" s="47"/>
      <c r="D76" s="48"/>
      <c r="P76" s="51"/>
    </row>
    <row r="77" spans="2:16" x14ac:dyDescent="0.2">
      <c r="B77" s="47"/>
      <c r="D77" s="48"/>
      <c r="P77" s="51"/>
    </row>
    <row r="78" spans="2:16" x14ac:dyDescent="0.2">
      <c r="B78" s="47"/>
      <c r="D78" s="48"/>
      <c r="P78" s="51"/>
    </row>
    <row r="79" spans="2:16" x14ac:dyDescent="0.2">
      <c r="B79" s="47"/>
      <c r="D79" s="48"/>
      <c r="P79" s="51"/>
    </row>
    <row r="80" spans="2:16" x14ac:dyDescent="0.2">
      <c r="B80" s="47"/>
      <c r="D80" s="48"/>
      <c r="P80" s="51"/>
    </row>
    <row r="81" spans="2:16" x14ac:dyDescent="0.2">
      <c r="B81" s="47"/>
      <c r="D81" s="48"/>
      <c r="P81" s="51"/>
    </row>
    <row r="82" spans="2:16" x14ac:dyDescent="0.2">
      <c r="B82" s="47"/>
      <c r="D82" s="48"/>
      <c r="P82" s="51"/>
    </row>
    <row r="83" spans="2:16" x14ac:dyDescent="0.2">
      <c r="B83" s="47"/>
      <c r="D83" s="48"/>
      <c r="P83" s="51"/>
    </row>
    <row r="84" spans="2:16" x14ac:dyDescent="0.2">
      <c r="B84" s="47"/>
      <c r="D84" s="48"/>
      <c r="P84" s="51"/>
    </row>
    <row r="85" spans="2:16" x14ac:dyDescent="0.2">
      <c r="B85" s="47"/>
      <c r="D85" s="48"/>
      <c r="P85" s="51"/>
    </row>
    <row r="86" spans="2:16" ht="17" thickBot="1" x14ac:dyDescent="0.25">
      <c r="B86" s="53"/>
      <c r="C86" s="54"/>
      <c r="D86" s="55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6"/>
    </row>
    <row r="87" spans="2:16" ht="17" thickTop="1" x14ac:dyDescent="0.2"/>
  </sheetData>
  <pageMargins left="0.511811024" right="0.511811024" top="0.78740157499999996" bottom="0.78740157499999996" header="0.31496062000000002" footer="0.31496062000000002"/>
  <pageSetup paperSize="9" scale="51" orientation="portrait" horizontalDpi="0" verticalDpi="0"/>
  <colBreaks count="1" manualBreakCount="1">
    <brk id="17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53A1-E36A-B849-821E-C54005F12D9B}">
  <dimension ref="A1:M42"/>
  <sheetViews>
    <sheetView showGridLines="0" tabSelected="1" zoomScale="119" zoomScaleNormal="119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.83203125" style="1"/>
    <col min="2" max="2" width="19.83203125" style="1" bestFit="1" customWidth="1"/>
    <col min="3" max="3" width="29.33203125" style="1" bestFit="1" customWidth="1"/>
    <col min="4" max="4" width="6.1640625" style="1" customWidth="1"/>
    <col min="5" max="5" width="33.1640625" style="2" customWidth="1"/>
    <col min="6" max="6" width="20.1640625" style="6" customWidth="1"/>
    <col min="7" max="7" width="10.83203125" style="6"/>
    <col min="8" max="8" width="10.83203125" style="4"/>
    <col min="10" max="12" width="1.1640625" customWidth="1"/>
  </cols>
  <sheetData>
    <row r="1" spans="1:13" s="3" customFormat="1" ht="17" x14ac:dyDescent="0.2">
      <c r="A1" s="7" t="s">
        <v>297</v>
      </c>
      <c r="B1" s="7" t="s">
        <v>0</v>
      </c>
      <c r="C1" s="7" t="s">
        <v>1</v>
      </c>
      <c r="D1" s="7" t="s">
        <v>298</v>
      </c>
      <c r="E1" s="8" t="s">
        <v>302</v>
      </c>
      <c r="F1" s="9" t="s">
        <v>303</v>
      </c>
      <c r="G1" s="10" t="s">
        <v>304</v>
      </c>
      <c r="H1" s="11" t="s">
        <v>306</v>
      </c>
      <c r="J1" s="3" t="s">
        <v>310</v>
      </c>
      <c r="K1" s="3" t="s">
        <v>311</v>
      </c>
      <c r="L1" s="3" t="s">
        <v>312</v>
      </c>
    </row>
    <row r="2" spans="1:13" x14ac:dyDescent="0.2">
      <c r="A2" s="12" t="s">
        <v>299</v>
      </c>
      <c r="B2" s="12" t="s">
        <v>3</v>
      </c>
      <c r="C2" s="12" t="s">
        <v>4</v>
      </c>
      <c r="D2" s="12">
        <v>0.02</v>
      </c>
      <c r="E2" s="13"/>
      <c r="F2" s="14">
        <f>IFERROR(LEFT(E2,1)*1,0)</f>
        <v>0</v>
      </c>
      <c r="G2" s="15">
        <f>D2*F2</f>
        <v>0</v>
      </c>
      <c r="H2" s="15">
        <f>SUMIF($B$2:$B$42,B2,$G$2:$G$42)/SUMIF($B$2:$B$42,B2,$D$2:$D$42)</f>
        <v>0</v>
      </c>
      <c r="J2" s="4">
        <v>1</v>
      </c>
      <c r="K2">
        <v>3</v>
      </c>
      <c r="L2" s="5">
        <v>5</v>
      </c>
      <c r="M2" s="5"/>
    </row>
    <row r="3" spans="1:13" x14ac:dyDescent="0.2">
      <c r="A3" s="12" t="s">
        <v>299</v>
      </c>
      <c r="B3" s="12" t="s">
        <v>3</v>
      </c>
      <c r="C3" s="12" t="s">
        <v>11</v>
      </c>
      <c r="D3" s="12">
        <v>0.03</v>
      </c>
      <c r="E3" s="13"/>
      <c r="F3" s="14">
        <f t="shared" ref="F3:F42" si="0">IFERROR(LEFT(E3,1)*1,0)</f>
        <v>0</v>
      </c>
      <c r="G3" s="15">
        <f t="shared" ref="G3:G41" si="1">D3*F3</f>
        <v>0</v>
      </c>
      <c r="H3" s="15">
        <f t="shared" ref="H3:H42" si="2">SUMIF($B$2:$B$42,B3,$G$2:$G$42)/SUMIF($B$2:$B$42,B3,$D$2:$D$42)</f>
        <v>0</v>
      </c>
      <c r="J3" s="4">
        <v>1</v>
      </c>
      <c r="K3">
        <v>3</v>
      </c>
      <c r="L3" s="5">
        <v>5</v>
      </c>
    </row>
    <row r="4" spans="1:13" x14ac:dyDescent="0.2">
      <c r="A4" s="12" t="s">
        <v>299</v>
      </c>
      <c r="B4" s="12" t="s">
        <v>3</v>
      </c>
      <c r="C4" s="12" t="s">
        <v>18</v>
      </c>
      <c r="D4" s="12">
        <v>0.03</v>
      </c>
      <c r="E4" s="13"/>
      <c r="F4" s="14">
        <f t="shared" si="0"/>
        <v>0</v>
      </c>
      <c r="G4" s="15">
        <f t="shared" si="1"/>
        <v>0</v>
      </c>
      <c r="H4" s="15">
        <f t="shared" si="2"/>
        <v>0</v>
      </c>
      <c r="J4" s="4">
        <v>1</v>
      </c>
      <c r="K4">
        <v>3</v>
      </c>
      <c r="L4" s="5">
        <v>5</v>
      </c>
    </row>
    <row r="5" spans="1:13" x14ac:dyDescent="0.2">
      <c r="A5" s="12" t="s">
        <v>299</v>
      </c>
      <c r="B5" s="12" t="s">
        <v>3</v>
      </c>
      <c r="C5" s="12" t="s">
        <v>25</v>
      </c>
      <c r="D5" s="12">
        <v>0.02</v>
      </c>
      <c r="E5" s="13"/>
      <c r="F5" s="14">
        <f t="shared" si="0"/>
        <v>0</v>
      </c>
      <c r="G5" s="15">
        <f>D5*F5</f>
        <v>0</v>
      </c>
      <c r="H5" s="15">
        <f t="shared" si="2"/>
        <v>0</v>
      </c>
      <c r="J5" s="4">
        <v>1</v>
      </c>
      <c r="K5">
        <v>3</v>
      </c>
      <c r="L5" s="5">
        <v>5</v>
      </c>
    </row>
    <row r="6" spans="1:13" x14ac:dyDescent="0.2">
      <c r="A6" s="12" t="s">
        <v>299</v>
      </c>
      <c r="B6" s="12" t="s">
        <v>3</v>
      </c>
      <c r="C6" s="12" t="s">
        <v>32</v>
      </c>
      <c r="D6" s="12">
        <v>0.03</v>
      </c>
      <c r="E6" s="13"/>
      <c r="F6" s="14">
        <f t="shared" si="0"/>
        <v>0</v>
      </c>
      <c r="G6" s="15">
        <f t="shared" si="1"/>
        <v>0</v>
      </c>
      <c r="H6" s="15">
        <f t="shared" si="2"/>
        <v>0</v>
      </c>
      <c r="J6" s="4">
        <v>1</v>
      </c>
      <c r="K6">
        <v>3</v>
      </c>
      <c r="L6" s="5">
        <v>5</v>
      </c>
    </row>
    <row r="7" spans="1:13" x14ac:dyDescent="0.2">
      <c r="A7" s="12" t="s">
        <v>299</v>
      </c>
      <c r="B7" s="12" t="s">
        <v>3</v>
      </c>
      <c r="C7" s="12" t="s">
        <v>39</v>
      </c>
      <c r="D7" s="12">
        <v>0.02</v>
      </c>
      <c r="E7" s="13"/>
      <c r="F7" s="14">
        <f t="shared" si="0"/>
        <v>0</v>
      </c>
      <c r="G7" s="15">
        <f>D7*F7</f>
        <v>0</v>
      </c>
      <c r="H7" s="15">
        <f t="shared" si="2"/>
        <v>0</v>
      </c>
      <c r="J7" s="4">
        <v>1</v>
      </c>
      <c r="K7">
        <v>3</v>
      </c>
      <c r="L7" s="5">
        <v>5</v>
      </c>
    </row>
    <row r="8" spans="1:13" x14ac:dyDescent="0.2">
      <c r="A8" s="16" t="s">
        <v>299</v>
      </c>
      <c r="B8" s="16" t="s">
        <v>46</v>
      </c>
      <c r="C8" s="16" t="s">
        <v>47</v>
      </c>
      <c r="D8" s="16">
        <v>0.03</v>
      </c>
      <c r="E8" s="17"/>
      <c r="F8" s="18">
        <f t="shared" si="0"/>
        <v>0</v>
      </c>
      <c r="G8" s="19">
        <f t="shared" si="1"/>
        <v>0</v>
      </c>
      <c r="H8" s="19">
        <f t="shared" si="2"/>
        <v>0</v>
      </c>
      <c r="J8" s="4">
        <v>1</v>
      </c>
      <c r="K8">
        <v>3</v>
      </c>
      <c r="L8" s="5">
        <v>5</v>
      </c>
    </row>
    <row r="9" spans="1:13" x14ac:dyDescent="0.2">
      <c r="A9" s="16" t="s">
        <v>299</v>
      </c>
      <c r="B9" s="16" t="s">
        <v>46</v>
      </c>
      <c r="C9" s="16" t="s">
        <v>54</v>
      </c>
      <c r="D9" s="16">
        <v>0.03</v>
      </c>
      <c r="E9" s="17"/>
      <c r="F9" s="18">
        <f t="shared" si="0"/>
        <v>0</v>
      </c>
      <c r="G9" s="19">
        <f t="shared" si="1"/>
        <v>0</v>
      </c>
      <c r="H9" s="19">
        <f t="shared" si="2"/>
        <v>0</v>
      </c>
      <c r="J9" s="4">
        <v>1</v>
      </c>
      <c r="K9">
        <v>3</v>
      </c>
      <c r="L9" s="5">
        <v>5</v>
      </c>
    </row>
    <row r="10" spans="1:13" x14ac:dyDescent="0.2">
      <c r="A10" s="16" t="s">
        <v>299</v>
      </c>
      <c r="B10" s="16" t="s">
        <v>46</v>
      </c>
      <c r="C10" s="16" t="s">
        <v>61</v>
      </c>
      <c r="D10" s="16">
        <v>0.04</v>
      </c>
      <c r="E10" s="17"/>
      <c r="F10" s="18">
        <f t="shared" si="0"/>
        <v>0</v>
      </c>
      <c r="G10" s="19">
        <f t="shared" si="1"/>
        <v>0</v>
      </c>
      <c r="H10" s="19">
        <f t="shared" si="2"/>
        <v>0</v>
      </c>
      <c r="J10" s="4">
        <v>1</v>
      </c>
      <c r="K10">
        <v>3</v>
      </c>
      <c r="L10" s="5">
        <v>5</v>
      </c>
    </row>
    <row r="11" spans="1:13" x14ac:dyDescent="0.2">
      <c r="A11" s="16" t="s">
        <v>299</v>
      </c>
      <c r="B11" s="16" t="s">
        <v>46</v>
      </c>
      <c r="C11" s="16" t="s">
        <v>68</v>
      </c>
      <c r="D11" s="16">
        <v>0.04</v>
      </c>
      <c r="E11" s="17"/>
      <c r="F11" s="18">
        <f t="shared" si="0"/>
        <v>0</v>
      </c>
      <c r="G11" s="19">
        <f t="shared" si="1"/>
        <v>0</v>
      </c>
      <c r="H11" s="19">
        <f t="shared" si="2"/>
        <v>0</v>
      </c>
      <c r="J11" s="4">
        <v>1</v>
      </c>
      <c r="K11">
        <v>3</v>
      </c>
      <c r="L11" s="5">
        <v>5</v>
      </c>
    </row>
    <row r="12" spans="1:13" x14ac:dyDescent="0.2">
      <c r="A12" s="16" t="s">
        <v>299</v>
      </c>
      <c r="B12" s="16" t="s">
        <v>46</v>
      </c>
      <c r="C12" s="16" t="s">
        <v>75</v>
      </c>
      <c r="D12" s="16">
        <v>0.03</v>
      </c>
      <c r="E12" s="17"/>
      <c r="F12" s="18">
        <f t="shared" si="0"/>
        <v>0</v>
      </c>
      <c r="G12" s="19">
        <f t="shared" si="1"/>
        <v>0</v>
      </c>
      <c r="H12" s="19">
        <f t="shared" si="2"/>
        <v>0</v>
      </c>
      <c r="J12" s="4">
        <v>1</v>
      </c>
      <c r="K12">
        <v>3</v>
      </c>
      <c r="L12" s="5">
        <v>5</v>
      </c>
    </row>
    <row r="13" spans="1:13" x14ac:dyDescent="0.2">
      <c r="A13" s="16" t="s">
        <v>299</v>
      </c>
      <c r="B13" s="16" t="s">
        <v>46</v>
      </c>
      <c r="C13" s="16" t="s">
        <v>82</v>
      </c>
      <c r="D13" s="16">
        <v>0.03</v>
      </c>
      <c r="E13" s="17"/>
      <c r="F13" s="18">
        <f t="shared" si="0"/>
        <v>0</v>
      </c>
      <c r="G13" s="19">
        <f t="shared" si="1"/>
        <v>0</v>
      </c>
      <c r="H13" s="19">
        <f t="shared" si="2"/>
        <v>0</v>
      </c>
      <c r="J13" s="4">
        <v>1</v>
      </c>
      <c r="K13">
        <v>3</v>
      </c>
      <c r="L13" s="5">
        <v>5</v>
      </c>
    </row>
    <row r="14" spans="1:13" x14ac:dyDescent="0.2">
      <c r="A14" s="12" t="s">
        <v>299</v>
      </c>
      <c r="B14" s="12" t="s">
        <v>89</v>
      </c>
      <c r="C14" s="12" t="s">
        <v>90</v>
      </c>
      <c r="D14" s="12">
        <v>0.03</v>
      </c>
      <c r="E14" s="13"/>
      <c r="F14" s="14">
        <f t="shared" si="0"/>
        <v>0</v>
      </c>
      <c r="G14" s="15">
        <f t="shared" si="1"/>
        <v>0</v>
      </c>
      <c r="H14" s="15">
        <f t="shared" si="2"/>
        <v>0</v>
      </c>
      <c r="J14" s="4">
        <v>1</v>
      </c>
      <c r="K14">
        <v>3</v>
      </c>
      <c r="L14" s="5">
        <v>5</v>
      </c>
    </row>
    <row r="15" spans="1:13" x14ac:dyDescent="0.2">
      <c r="A15" s="12" t="s">
        <v>299</v>
      </c>
      <c r="B15" s="12" t="s">
        <v>89</v>
      </c>
      <c r="C15" s="12" t="s">
        <v>97</v>
      </c>
      <c r="D15" s="12">
        <v>0.02</v>
      </c>
      <c r="E15" s="13"/>
      <c r="F15" s="14">
        <f t="shared" si="0"/>
        <v>0</v>
      </c>
      <c r="G15" s="15">
        <f t="shared" si="1"/>
        <v>0</v>
      </c>
      <c r="H15" s="15">
        <f t="shared" si="2"/>
        <v>0</v>
      </c>
      <c r="J15" s="4">
        <v>1</v>
      </c>
      <c r="K15">
        <v>3</v>
      </c>
      <c r="L15" s="5">
        <v>5</v>
      </c>
    </row>
    <row r="16" spans="1:13" x14ac:dyDescent="0.2">
      <c r="A16" s="12" t="s">
        <v>299</v>
      </c>
      <c r="B16" s="12" t="s">
        <v>89</v>
      </c>
      <c r="C16" s="12" t="s">
        <v>104</v>
      </c>
      <c r="D16" s="12">
        <v>0.02</v>
      </c>
      <c r="E16" s="13"/>
      <c r="F16" s="14">
        <f t="shared" si="0"/>
        <v>0</v>
      </c>
      <c r="G16" s="15">
        <f t="shared" si="1"/>
        <v>0</v>
      </c>
      <c r="H16" s="15">
        <f t="shared" si="2"/>
        <v>0</v>
      </c>
      <c r="J16" s="4">
        <v>1</v>
      </c>
      <c r="K16">
        <v>3</v>
      </c>
      <c r="L16" s="5">
        <v>5</v>
      </c>
    </row>
    <row r="17" spans="1:12" x14ac:dyDescent="0.2">
      <c r="A17" s="12" t="s">
        <v>299</v>
      </c>
      <c r="B17" s="12" t="s">
        <v>89</v>
      </c>
      <c r="C17" s="12" t="s">
        <v>111</v>
      </c>
      <c r="D17" s="12">
        <v>0.02</v>
      </c>
      <c r="E17" s="13"/>
      <c r="F17" s="14">
        <f t="shared" si="0"/>
        <v>0</v>
      </c>
      <c r="G17" s="15">
        <f t="shared" si="1"/>
        <v>0</v>
      </c>
      <c r="H17" s="15">
        <f t="shared" si="2"/>
        <v>0</v>
      </c>
      <c r="J17" s="4">
        <v>1</v>
      </c>
      <c r="K17">
        <v>3</v>
      </c>
      <c r="L17" s="5">
        <v>5</v>
      </c>
    </row>
    <row r="18" spans="1:12" x14ac:dyDescent="0.2">
      <c r="A18" s="12" t="s">
        <v>299</v>
      </c>
      <c r="B18" s="12" t="s">
        <v>89</v>
      </c>
      <c r="C18" s="12" t="s">
        <v>118</v>
      </c>
      <c r="D18" s="12">
        <v>0.01</v>
      </c>
      <c r="E18" s="13"/>
      <c r="F18" s="14">
        <f t="shared" si="0"/>
        <v>0</v>
      </c>
      <c r="G18" s="15">
        <f t="shared" si="1"/>
        <v>0</v>
      </c>
      <c r="H18" s="15">
        <f t="shared" si="2"/>
        <v>0</v>
      </c>
      <c r="J18" s="4">
        <v>1</v>
      </c>
      <c r="K18">
        <v>3</v>
      </c>
      <c r="L18" s="5">
        <v>5</v>
      </c>
    </row>
    <row r="19" spans="1:12" x14ac:dyDescent="0.2">
      <c r="A19" s="16" t="s">
        <v>299</v>
      </c>
      <c r="B19" s="16" t="s">
        <v>125</v>
      </c>
      <c r="C19" s="16" t="s">
        <v>126</v>
      </c>
      <c r="D19" s="16">
        <v>0.03</v>
      </c>
      <c r="E19" s="17"/>
      <c r="F19" s="18">
        <f t="shared" si="0"/>
        <v>0</v>
      </c>
      <c r="G19" s="19">
        <f t="shared" si="1"/>
        <v>0</v>
      </c>
      <c r="H19" s="19">
        <f t="shared" si="2"/>
        <v>0</v>
      </c>
      <c r="J19" s="4">
        <v>1</v>
      </c>
      <c r="K19">
        <v>3</v>
      </c>
      <c r="L19" s="5">
        <v>5</v>
      </c>
    </row>
    <row r="20" spans="1:12" x14ac:dyDescent="0.2">
      <c r="A20" s="16" t="s">
        <v>299</v>
      </c>
      <c r="B20" s="16" t="s">
        <v>125</v>
      </c>
      <c r="C20" s="16" t="s">
        <v>133</v>
      </c>
      <c r="D20" s="16">
        <v>0.04</v>
      </c>
      <c r="E20" s="17"/>
      <c r="F20" s="18">
        <f t="shared" si="0"/>
        <v>0</v>
      </c>
      <c r="G20" s="19">
        <f t="shared" si="1"/>
        <v>0</v>
      </c>
      <c r="H20" s="19">
        <f t="shared" si="2"/>
        <v>0</v>
      </c>
      <c r="J20" s="4">
        <v>1</v>
      </c>
      <c r="K20">
        <v>3</v>
      </c>
      <c r="L20" s="5">
        <v>5</v>
      </c>
    </row>
    <row r="21" spans="1:12" x14ac:dyDescent="0.2">
      <c r="A21" s="16" t="s">
        <v>299</v>
      </c>
      <c r="B21" s="16" t="s">
        <v>125</v>
      </c>
      <c r="C21" s="16" t="s">
        <v>140</v>
      </c>
      <c r="D21" s="16">
        <v>0.04</v>
      </c>
      <c r="E21" s="17"/>
      <c r="F21" s="18">
        <f t="shared" si="0"/>
        <v>0</v>
      </c>
      <c r="G21" s="19">
        <f t="shared" si="1"/>
        <v>0</v>
      </c>
      <c r="H21" s="19">
        <f t="shared" si="2"/>
        <v>0</v>
      </c>
      <c r="J21" s="4">
        <v>1</v>
      </c>
      <c r="K21">
        <v>3</v>
      </c>
      <c r="L21" s="5">
        <v>5</v>
      </c>
    </row>
    <row r="22" spans="1:12" x14ac:dyDescent="0.2">
      <c r="A22" s="16" t="s">
        <v>299</v>
      </c>
      <c r="B22" s="16" t="s">
        <v>125</v>
      </c>
      <c r="C22" s="16" t="s">
        <v>147</v>
      </c>
      <c r="D22" s="16">
        <v>0.04</v>
      </c>
      <c r="E22" s="17"/>
      <c r="F22" s="18">
        <f t="shared" si="0"/>
        <v>0</v>
      </c>
      <c r="G22" s="19">
        <f t="shared" si="1"/>
        <v>0</v>
      </c>
      <c r="H22" s="19">
        <f t="shared" si="2"/>
        <v>0</v>
      </c>
      <c r="J22" s="4">
        <v>1</v>
      </c>
      <c r="K22">
        <v>3</v>
      </c>
      <c r="L22" s="5">
        <v>5</v>
      </c>
    </row>
    <row r="23" spans="1:12" x14ac:dyDescent="0.2">
      <c r="A23" s="16" t="s">
        <v>299</v>
      </c>
      <c r="B23" s="16" t="s">
        <v>125</v>
      </c>
      <c r="C23" s="16" t="s">
        <v>154</v>
      </c>
      <c r="D23" s="16">
        <v>0.03</v>
      </c>
      <c r="E23" s="17"/>
      <c r="F23" s="18">
        <f t="shared" si="0"/>
        <v>0</v>
      </c>
      <c r="G23" s="19">
        <f t="shared" si="1"/>
        <v>0</v>
      </c>
      <c r="H23" s="19">
        <f t="shared" si="2"/>
        <v>0</v>
      </c>
      <c r="J23" s="4">
        <v>1</v>
      </c>
      <c r="K23">
        <v>3</v>
      </c>
      <c r="L23" s="5">
        <v>5</v>
      </c>
    </row>
    <row r="24" spans="1:12" x14ac:dyDescent="0.2">
      <c r="A24" s="16" t="s">
        <v>299</v>
      </c>
      <c r="B24" s="16" t="s">
        <v>125</v>
      </c>
      <c r="C24" s="16" t="s">
        <v>161</v>
      </c>
      <c r="D24" s="16">
        <v>0.02</v>
      </c>
      <c r="E24" s="17"/>
      <c r="F24" s="18">
        <f t="shared" si="0"/>
        <v>0</v>
      </c>
      <c r="G24" s="19">
        <f t="shared" si="1"/>
        <v>0</v>
      </c>
      <c r="H24" s="19">
        <f t="shared" si="2"/>
        <v>0</v>
      </c>
      <c r="J24" s="4">
        <v>1</v>
      </c>
      <c r="K24">
        <v>3</v>
      </c>
      <c r="L24" s="5">
        <v>5</v>
      </c>
    </row>
    <row r="25" spans="1:12" x14ac:dyDescent="0.2">
      <c r="A25" s="12" t="s">
        <v>299</v>
      </c>
      <c r="B25" s="12" t="s">
        <v>168</v>
      </c>
      <c r="C25" s="12" t="s">
        <v>169</v>
      </c>
      <c r="D25" s="12">
        <v>0.03</v>
      </c>
      <c r="E25" s="13"/>
      <c r="F25" s="14">
        <f t="shared" si="0"/>
        <v>0</v>
      </c>
      <c r="G25" s="15">
        <f t="shared" si="1"/>
        <v>0</v>
      </c>
      <c r="H25" s="15">
        <f t="shared" si="2"/>
        <v>0</v>
      </c>
      <c r="J25" s="4">
        <v>1</v>
      </c>
      <c r="K25">
        <v>3</v>
      </c>
      <c r="L25" s="5">
        <v>5</v>
      </c>
    </row>
    <row r="26" spans="1:12" x14ac:dyDescent="0.2">
      <c r="A26" s="12" t="s">
        <v>299</v>
      </c>
      <c r="B26" s="12" t="s">
        <v>168</v>
      </c>
      <c r="C26" s="12" t="s">
        <v>176</v>
      </c>
      <c r="D26" s="12">
        <v>0.03</v>
      </c>
      <c r="E26" s="13"/>
      <c r="F26" s="14">
        <f t="shared" si="0"/>
        <v>0</v>
      </c>
      <c r="G26" s="15">
        <f t="shared" si="1"/>
        <v>0</v>
      </c>
      <c r="H26" s="15">
        <f t="shared" si="2"/>
        <v>0</v>
      </c>
      <c r="J26" s="4">
        <v>1</v>
      </c>
      <c r="K26">
        <v>3</v>
      </c>
      <c r="L26" s="5">
        <v>5</v>
      </c>
    </row>
    <row r="27" spans="1:12" x14ac:dyDescent="0.2">
      <c r="A27" s="12" t="s">
        <v>299</v>
      </c>
      <c r="B27" s="12" t="s">
        <v>168</v>
      </c>
      <c r="C27" s="12" t="s">
        <v>183</v>
      </c>
      <c r="D27" s="12">
        <v>0.02</v>
      </c>
      <c r="E27" s="13"/>
      <c r="F27" s="14">
        <f t="shared" si="0"/>
        <v>0</v>
      </c>
      <c r="G27" s="15">
        <f t="shared" si="1"/>
        <v>0</v>
      </c>
      <c r="H27" s="15">
        <f t="shared" si="2"/>
        <v>0</v>
      </c>
      <c r="J27" s="4">
        <v>1</v>
      </c>
      <c r="K27">
        <v>3</v>
      </c>
      <c r="L27" s="5">
        <v>5</v>
      </c>
    </row>
    <row r="28" spans="1:12" x14ac:dyDescent="0.2">
      <c r="A28" s="12" t="s">
        <v>299</v>
      </c>
      <c r="B28" s="12" t="s">
        <v>168</v>
      </c>
      <c r="C28" s="12" t="s">
        <v>190</v>
      </c>
      <c r="D28" s="12">
        <v>0.02</v>
      </c>
      <c r="E28" s="13"/>
      <c r="F28" s="14">
        <f t="shared" si="0"/>
        <v>0</v>
      </c>
      <c r="G28" s="15">
        <f t="shared" si="1"/>
        <v>0</v>
      </c>
      <c r="H28" s="15">
        <f t="shared" si="2"/>
        <v>0</v>
      </c>
      <c r="J28" s="4">
        <v>1</v>
      </c>
      <c r="K28">
        <v>3</v>
      </c>
      <c r="L28" s="5">
        <v>5</v>
      </c>
    </row>
    <row r="29" spans="1:12" x14ac:dyDescent="0.2">
      <c r="A29" s="12" t="s">
        <v>299</v>
      </c>
      <c r="B29" s="12" t="s">
        <v>197</v>
      </c>
      <c r="C29" s="12" t="s">
        <v>198</v>
      </c>
      <c r="D29" s="12">
        <v>0.03</v>
      </c>
      <c r="E29" s="13"/>
      <c r="F29" s="14">
        <f t="shared" si="0"/>
        <v>0</v>
      </c>
      <c r="G29" s="15">
        <f t="shared" si="1"/>
        <v>0</v>
      </c>
      <c r="H29" s="15">
        <f t="shared" si="2"/>
        <v>0</v>
      </c>
      <c r="J29" s="4">
        <v>1</v>
      </c>
      <c r="K29">
        <v>3</v>
      </c>
      <c r="L29" s="5">
        <v>5</v>
      </c>
    </row>
    <row r="30" spans="1:12" x14ac:dyDescent="0.2">
      <c r="A30" s="16" t="s">
        <v>299</v>
      </c>
      <c r="B30" s="16" t="s">
        <v>197</v>
      </c>
      <c r="C30" s="16" t="s">
        <v>205</v>
      </c>
      <c r="D30" s="16">
        <v>0.03</v>
      </c>
      <c r="E30" s="17"/>
      <c r="F30" s="18">
        <f t="shared" si="0"/>
        <v>0</v>
      </c>
      <c r="G30" s="19">
        <f t="shared" si="1"/>
        <v>0</v>
      </c>
      <c r="H30" s="19">
        <f t="shared" si="2"/>
        <v>0</v>
      </c>
      <c r="J30" s="4">
        <v>1</v>
      </c>
      <c r="K30">
        <v>3</v>
      </c>
      <c r="L30" s="5">
        <v>5</v>
      </c>
    </row>
    <row r="31" spans="1:12" x14ac:dyDescent="0.2">
      <c r="A31" s="16" t="s">
        <v>299</v>
      </c>
      <c r="B31" s="16" t="s">
        <v>197</v>
      </c>
      <c r="C31" s="16" t="s">
        <v>212</v>
      </c>
      <c r="D31" s="16">
        <v>0.02</v>
      </c>
      <c r="E31" s="17"/>
      <c r="F31" s="18">
        <f t="shared" si="0"/>
        <v>0</v>
      </c>
      <c r="G31" s="19">
        <f t="shared" si="1"/>
        <v>0</v>
      </c>
      <c r="H31" s="19">
        <f t="shared" si="2"/>
        <v>0</v>
      </c>
      <c r="J31" s="4">
        <v>1</v>
      </c>
      <c r="K31">
        <v>3</v>
      </c>
      <c r="L31" s="5">
        <v>5</v>
      </c>
    </row>
    <row r="32" spans="1:12" x14ac:dyDescent="0.2">
      <c r="A32" s="16" t="s">
        <v>299</v>
      </c>
      <c r="B32" s="16" t="s">
        <v>197</v>
      </c>
      <c r="C32" s="16" t="s">
        <v>219</v>
      </c>
      <c r="D32" s="16">
        <v>0.02</v>
      </c>
      <c r="E32" s="17"/>
      <c r="F32" s="18">
        <f t="shared" si="0"/>
        <v>0</v>
      </c>
      <c r="G32" s="19">
        <f t="shared" si="1"/>
        <v>0</v>
      </c>
      <c r="H32" s="19">
        <f t="shared" si="2"/>
        <v>0</v>
      </c>
      <c r="J32" s="4">
        <v>1</v>
      </c>
      <c r="K32">
        <v>3</v>
      </c>
      <c r="L32" s="5">
        <v>5</v>
      </c>
    </row>
    <row r="33" spans="1:12" x14ac:dyDescent="0.2">
      <c r="A33" s="12" t="s">
        <v>299</v>
      </c>
      <c r="B33" s="12" t="s">
        <v>226</v>
      </c>
      <c r="C33" s="12" t="s">
        <v>227</v>
      </c>
      <c r="D33" s="12">
        <v>0.03</v>
      </c>
      <c r="E33" s="13"/>
      <c r="F33" s="14">
        <f t="shared" si="0"/>
        <v>0</v>
      </c>
      <c r="G33" s="15">
        <f t="shared" si="1"/>
        <v>0</v>
      </c>
      <c r="H33" s="15">
        <f t="shared" si="2"/>
        <v>0</v>
      </c>
      <c r="J33" s="4">
        <v>1</v>
      </c>
      <c r="K33">
        <v>3</v>
      </c>
      <c r="L33" s="5">
        <v>5</v>
      </c>
    </row>
    <row r="34" spans="1:12" x14ac:dyDescent="0.2">
      <c r="A34" s="12" t="s">
        <v>299</v>
      </c>
      <c r="B34" s="12" t="s">
        <v>226</v>
      </c>
      <c r="C34" s="12" t="s">
        <v>234</v>
      </c>
      <c r="D34" s="12">
        <v>0.03</v>
      </c>
      <c r="E34" s="13"/>
      <c r="F34" s="14">
        <f t="shared" si="0"/>
        <v>0</v>
      </c>
      <c r="G34" s="15">
        <f t="shared" si="1"/>
        <v>0</v>
      </c>
      <c r="H34" s="15">
        <f t="shared" si="2"/>
        <v>0</v>
      </c>
      <c r="J34" s="4">
        <v>1</v>
      </c>
      <c r="K34">
        <v>3</v>
      </c>
      <c r="L34" s="5">
        <v>5</v>
      </c>
    </row>
    <row r="35" spans="1:12" x14ac:dyDescent="0.2">
      <c r="A35" s="12" t="s">
        <v>299</v>
      </c>
      <c r="B35" s="12" t="s">
        <v>226</v>
      </c>
      <c r="C35" s="12" t="s">
        <v>241</v>
      </c>
      <c r="D35" s="12">
        <v>0.02</v>
      </c>
      <c r="E35" s="13"/>
      <c r="F35" s="14">
        <f t="shared" si="0"/>
        <v>0</v>
      </c>
      <c r="G35" s="15">
        <f t="shared" si="1"/>
        <v>0</v>
      </c>
      <c r="H35" s="15">
        <f t="shared" si="2"/>
        <v>0</v>
      </c>
      <c r="J35" s="4">
        <v>1</v>
      </c>
      <c r="K35">
        <v>3</v>
      </c>
      <c r="L35" s="5">
        <v>5</v>
      </c>
    </row>
    <row r="36" spans="1:12" x14ac:dyDescent="0.2">
      <c r="A36" s="12" t="s">
        <v>299</v>
      </c>
      <c r="B36" s="12" t="s">
        <v>226</v>
      </c>
      <c r="C36" s="12" t="s">
        <v>248</v>
      </c>
      <c r="D36" s="12">
        <v>0.01</v>
      </c>
      <c r="E36" s="13"/>
      <c r="F36" s="14">
        <f t="shared" si="0"/>
        <v>0</v>
      </c>
      <c r="G36" s="15">
        <f t="shared" si="1"/>
        <v>0</v>
      </c>
      <c r="H36" s="15">
        <f t="shared" si="2"/>
        <v>0</v>
      </c>
      <c r="J36" s="4">
        <v>1</v>
      </c>
      <c r="K36">
        <v>3</v>
      </c>
      <c r="L36" s="5">
        <v>5</v>
      </c>
    </row>
    <row r="37" spans="1:12" x14ac:dyDescent="0.2">
      <c r="A37" s="12" t="s">
        <v>299</v>
      </c>
      <c r="B37" s="12" t="s">
        <v>226</v>
      </c>
      <c r="C37" s="12" t="s">
        <v>98</v>
      </c>
      <c r="D37" s="12">
        <v>0.01</v>
      </c>
      <c r="E37" s="13"/>
      <c r="F37" s="14">
        <f t="shared" si="0"/>
        <v>0</v>
      </c>
      <c r="G37" s="15">
        <f t="shared" si="1"/>
        <v>0</v>
      </c>
      <c r="H37" s="15">
        <f t="shared" si="2"/>
        <v>0</v>
      </c>
      <c r="J37" s="4">
        <v>1</v>
      </c>
      <c r="K37">
        <v>3</v>
      </c>
      <c r="L37" s="5">
        <v>5</v>
      </c>
    </row>
    <row r="38" spans="1:12" x14ac:dyDescent="0.2">
      <c r="A38" s="16" t="s">
        <v>299</v>
      </c>
      <c r="B38" s="16" t="s">
        <v>261</v>
      </c>
      <c r="C38" s="16" t="s">
        <v>262</v>
      </c>
      <c r="D38" s="16">
        <v>1.4999999999999999E-2</v>
      </c>
      <c r="E38" s="17"/>
      <c r="F38" s="18">
        <f t="shared" si="0"/>
        <v>0</v>
      </c>
      <c r="G38" s="19">
        <f t="shared" si="1"/>
        <v>0</v>
      </c>
      <c r="H38" s="19">
        <f t="shared" si="2"/>
        <v>0</v>
      </c>
      <c r="J38" s="4">
        <v>1</v>
      </c>
      <c r="K38">
        <v>3</v>
      </c>
      <c r="L38" s="5">
        <v>5</v>
      </c>
    </row>
    <row r="39" spans="1:12" x14ac:dyDescent="0.2">
      <c r="A39" s="16" t="s">
        <v>299</v>
      </c>
      <c r="B39" s="16" t="s">
        <v>261</v>
      </c>
      <c r="C39" s="16" t="s">
        <v>269</v>
      </c>
      <c r="D39" s="16">
        <v>1.4999999999999999E-2</v>
      </c>
      <c r="E39" s="17"/>
      <c r="F39" s="18">
        <f t="shared" si="0"/>
        <v>0</v>
      </c>
      <c r="G39" s="19">
        <f t="shared" si="1"/>
        <v>0</v>
      </c>
      <c r="H39" s="19">
        <f t="shared" si="2"/>
        <v>0</v>
      </c>
      <c r="J39" s="4">
        <v>1</v>
      </c>
      <c r="K39">
        <v>3</v>
      </c>
      <c r="L39" s="5">
        <v>5</v>
      </c>
    </row>
    <row r="40" spans="1:12" x14ac:dyDescent="0.2">
      <c r="A40" s="16" t="s">
        <v>299</v>
      </c>
      <c r="B40" s="16" t="s">
        <v>261</v>
      </c>
      <c r="C40" s="16" t="s">
        <v>276</v>
      </c>
      <c r="D40" s="16">
        <v>0.01</v>
      </c>
      <c r="E40" s="17"/>
      <c r="F40" s="18">
        <f t="shared" si="0"/>
        <v>0</v>
      </c>
      <c r="G40" s="19">
        <f t="shared" si="1"/>
        <v>0</v>
      </c>
      <c r="H40" s="19">
        <f t="shared" si="2"/>
        <v>0</v>
      </c>
      <c r="J40" s="4">
        <v>1</v>
      </c>
      <c r="K40">
        <v>3</v>
      </c>
      <c r="L40" s="5">
        <v>5</v>
      </c>
    </row>
    <row r="41" spans="1:12" x14ac:dyDescent="0.2">
      <c r="A41" s="16" t="s">
        <v>299</v>
      </c>
      <c r="B41" s="16" t="s">
        <v>261</v>
      </c>
      <c r="C41" s="16" t="s">
        <v>283</v>
      </c>
      <c r="D41" s="16">
        <v>5.0000000000000001E-3</v>
      </c>
      <c r="E41" s="17"/>
      <c r="F41" s="18">
        <f t="shared" si="0"/>
        <v>0</v>
      </c>
      <c r="G41" s="19">
        <f t="shared" si="1"/>
        <v>0</v>
      </c>
      <c r="H41" s="19">
        <f t="shared" si="2"/>
        <v>0</v>
      </c>
      <c r="J41" s="4">
        <v>1</v>
      </c>
      <c r="K41">
        <v>3</v>
      </c>
      <c r="L41" s="5">
        <v>5</v>
      </c>
    </row>
    <row r="42" spans="1:12" x14ac:dyDescent="0.2">
      <c r="A42" s="16" t="s">
        <v>299</v>
      </c>
      <c r="B42" s="16" t="s">
        <v>261</v>
      </c>
      <c r="C42" s="16" t="s">
        <v>290</v>
      </c>
      <c r="D42" s="16">
        <v>5.0000000000000001E-3</v>
      </c>
      <c r="E42" s="17"/>
      <c r="F42" s="18">
        <f t="shared" si="0"/>
        <v>0</v>
      </c>
      <c r="G42" s="19">
        <f>D42*F42</f>
        <v>0</v>
      </c>
      <c r="H42" s="19">
        <f t="shared" si="2"/>
        <v>0</v>
      </c>
      <c r="J42" s="4">
        <v>1</v>
      </c>
      <c r="K42">
        <v>3</v>
      </c>
      <c r="L42" s="5">
        <v>5</v>
      </c>
    </row>
  </sheetData>
  <pageMargins left="0.511811024" right="0.511811024" top="0.78740157499999996" bottom="0.78740157499999996" header="0.31496062000000002" footer="0.31496062000000002"/>
  <pageSetup paperSize="9" scale="61" orientation="portrait" horizontalDpi="0" verticalDpi="0"/>
  <rowBreaks count="1" manualBreakCount="1">
    <brk id="32" max="7" man="1"/>
  </rowBreaks>
  <colBreaks count="1" manualBreakCount="1">
    <brk id="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F9DF32-DB68-784C-B8F6-19A8E62C9B93}">
          <x14:formula1>
            <xm:f>Base!$D2:$H2</xm:f>
          </x14:formula1>
          <xm:sqref>E2:E42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62A4-37EC-C34F-92A5-C77348B8C9F8}">
  <dimension ref="A1:D42"/>
  <sheetViews>
    <sheetView workbookViewId="0">
      <selection sqref="A1:XFD1048576"/>
    </sheetView>
  </sheetViews>
  <sheetFormatPr baseColWidth="10" defaultRowHeight="16" x14ac:dyDescent="0.2"/>
  <cols>
    <col min="1" max="1" width="8.1640625" bestFit="1" customWidth="1"/>
    <col min="2" max="2" width="19.83203125" bestFit="1" customWidth="1"/>
    <col min="3" max="3" width="29.33203125" bestFit="1" customWidth="1"/>
    <col min="4" max="4" width="6.1640625" bestFit="1" customWidth="1"/>
  </cols>
  <sheetData>
    <row r="1" spans="1:4" x14ac:dyDescent="0.2">
      <c r="A1" t="s">
        <v>297</v>
      </c>
      <c r="B1" t="s">
        <v>0</v>
      </c>
      <c r="C1" t="s">
        <v>1</v>
      </c>
      <c r="D1" t="s">
        <v>298</v>
      </c>
    </row>
    <row r="2" spans="1:4" x14ac:dyDescent="0.2">
      <c r="A2" t="s">
        <v>300</v>
      </c>
      <c r="B2" t="s">
        <v>3</v>
      </c>
      <c r="C2" t="s">
        <v>4</v>
      </c>
      <c r="D2">
        <v>2.5000000000000001E-2</v>
      </c>
    </row>
    <row r="3" spans="1:4" x14ac:dyDescent="0.2">
      <c r="A3" t="s">
        <v>300</v>
      </c>
      <c r="B3" t="s">
        <v>3</v>
      </c>
      <c r="C3" t="s">
        <v>11</v>
      </c>
      <c r="D3">
        <v>3.5000000000000003E-2</v>
      </c>
    </row>
    <row r="4" spans="1:4" x14ac:dyDescent="0.2">
      <c r="A4" t="s">
        <v>300</v>
      </c>
      <c r="B4" t="s">
        <v>3</v>
      </c>
      <c r="C4" t="s">
        <v>18</v>
      </c>
      <c r="D4">
        <v>3.5000000000000003E-2</v>
      </c>
    </row>
    <row r="5" spans="1:4" x14ac:dyDescent="0.2">
      <c r="A5" t="s">
        <v>300</v>
      </c>
      <c r="B5" t="s">
        <v>3</v>
      </c>
      <c r="C5" t="s">
        <v>25</v>
      </c>
      <c r="D5">
        <v>2.5000000000000001E-2</v>
      </c>
    </row>
    <row r="6" spans="1:4" x14ac:dyDescent="0.2">
      <c r="A6" t="s">
        <v>300</v>
      </c>
      <c r="B6" t="s">
        <v>3</v>
      </c>
      <c r="C6" t="s">
        <v>32</v>
      </c>
      <c r="D6">
        <v>0.03</v>
      </c>
    </row>
    <row r="7" spans="1:4" x14ac:dyDescent="0.2">
      <c r="A7" t="s">
        <v>300</v>
      </c>
      <c r="B7" t="s">
        <v>3</v>
      </c>
      <c r="C7" t="s">
        <v>39</v>
      </c>
      <c r="D7">
        <v>0.03</v>
      </c>
    </row>
    <row r="8" spans="1:4" x14ac:dyDescent="0.2">
      <c r="A8" t="s">
        <v>300</v>
      </c>
      <c r="B8" t="s">
        <v>46</v>
      </c>
      <c r="C8" t="s">
        <v>47</v>
      </c>
      <c r="D8">
        <v>0.03</v>
      </c>
    </row>
    <row r="9" spans="1:4" x14ac:dyDescent="0.2">
      <c r="A9" t="s">
        <v>300</v>
      </c>
      <c r="B9" t="s">
        <v>46</v>
      </c>
      <c r="C9" t="s">
        <v>54</v>
      </c>
      <c r="D9">
        <v>0.03</v>
      </c>
    </row>
    <row r="10" spans="1:4" x14ac:dyDescent="0.2">
      <c r="A10" t="s">
        <v>300</v>
      </c>
      <c r="B10" t="s">
        <v>46</v>
      </c>
      <c r="C10" t="s">
        <v>61</v>
      </c>
      <c r="D10">
        <v>3.5000000000000003E-2</v>
      </c>
    </row>
    <row r="11" spans="1:4" x14ac:dyDescent="0.2">
      <c r="A11" t="s">
        <v>300</v>
      </c>
      <c r="B11" t="s">
        <v>46</v>
      </c>
      <c r="C11" t="s">
        <v>68</v>
      </c>
      <c r="D11">
        <v>3.5000000000000003E-2</v>
      </c>
    </row>
    <row r="12" spans="1:4" x14ac:dyDescent="0.2">
      <c r="A12" t="s">
        <v>300</v>
      </c>
      <c r="B12" t="s">
        <v>46</v>
      </c>
      <c r="C12" t="s">
        <v>75</v>
      </c>
      <c r="D12">
        <v>2.5000000000000001E-2</v>
      </c>
    </row>
    <row r="13" spans="1:4" x14ac:dyDescent="0.2">
      <c r="A13" t="s">
        <v>300</v>
      </c>
      <c r="B13" t="s">
        <v>46</v>
      </c>
      <c r="C13" t="s">
        <v>82</v>
      </c>
      <c r="D13">
        <v>2.5000000000000001E-2</v>
      </c>
    </row>
    <row r="14" spans="1:4" x14ac:dyDescent="0.2">
      <c r="A14" t="s">
        <v>300</v>
      </c>
      <c r="B14" t="s">
        <v>89</v>
      </c>
      <c r="C14" t="s">
        <v>90</v>
      </c>
      <c r="D14">
        <v>0.03</v>
      </c>
    </row>
    <row r="15" spans="1:4" x14ac:dyDescent="0.2">
      <c r="A15" t="s">
        <v>300</v>
      </c>
      <c r="B15" t="s">
        <v>89</v>
      </c>
      <c r="C15" t="s">
        <v>97</v>
      </c>
      <c r="D15">
        <v>0.02</v>
      </c>
    </row>
    <row r="16" spans="1:4" x14ac:dyDescent="0.2">
      <c r="A16" t="s">
        <v>300</v>
      </c>
      <c r="B16" t="s">
        <v>89</v>
      </c>
      <c r="C16" t="s">
        <v>104</v>
      </c>
      <c r="D16">
        <v>0.02</v>
      </c>
    </row>
    <row r="17" spans="1:4" x14ac:dyDescent="0.2">
      <c r="A17" t="s">
        <v>300</v>
      </c>
      <c r="B17" t="s">
        <v>89</v>
      </c>
      <c r="C17" t="s">
        <v>111</v>
      </c>
      <c r="D17">
        <v>0.02</v>
      </c>
    </row>
    <row r="18" spans="1:4" x14ac:dyDescent="0.2">
      <c r="A18" t="s">
        <v>300</v>
      </c>
      <c r="B18" t="s">
        <v>89</v>
      </c>
      <c r="C18" t="s">
        <v>118</v>
      </c>
      <c r="D18">
        <v>0.01</v>
      </c>
    </row>
    <row r="19" spans="1:4" x14ac:dyDescent="0.2">
      <c r="A19" t="s">
        <v>300</v>
      </c>
      <c r="B19" t="s">
        <v>125</v>
      </c>
      <c r="C19" t="s">
        <v>126</v>
      </c>
      <c r="D19">
        <v>3.5000000000000003E-2</v>
      </c>
    </row>
    <row r="20" spans="1:4" x14ac:dyDescent="0.2">
      <c r="A20" t="s">
        <v>300</v>
      </c>
      <c r="B20" t="s">
        <v>125</v>
      </c>
      <c r="C20" t="s">
        <v>133</v>
      </c>
      <c r="D20">
        <v>0.04</v>
      </c>
    </row>
    <row r="21" spans="1:4" x14ac:dyDescent="0.2">
      <c r="A21" t="s">
        <v>300</v>
      </c>
      <c r="B21" t="s">
        <v>125</v>
      </c>
      <c r="C21" t="s">
        <v>140</v>
      </c>
      <c r="D21">
        <v>0.04</v>
      </c>
    </row>
    <row r="22" spans="1:4" x14ac:dyDescent="0.2">
      <c r="A22" t="s">
        <v>300</v>
      </c>
      <c r="B22" t="s">
        <v>125</v>
      </c>
      <c r="C22" t="s">
        <v>147</v>
      </c>
      <c r="D22">
        <v>0.04</v>
      </c>
    </row>
    <row r="23" spans="1:4" x14ac:dyDescent="0.2">
      <c r="A23" t="s">
        <v>300</v>
      </c>
      <c r="B23" t="s">
        <v>125</v>
      </c>
      <c r="C23" t="s">
        <v>154</v>
      </c>
      <c r="D23">
        <v>0.03</v>
      </c>
    </row>
    <row r="24" spans="1:4" x14ac:dyDescent="0.2">
      <c r="A24" t="s">
        <v>300</v>
      </c>
      <c r="B24" t="s">
        <v>125</v>
      </c>
      <c r="C24" t="s">
        <v>161</v>
      </c>
      <c r="D24">
        <v>2.5000000000000001E-2</v>
      </c>
    </row>
    <row r="25" spans="1:4" x14ac:dyDescent="0.2">
      <c r="A25" t="s">
        <v>300</v>
      </c>
      <c r="B25" t="s">
        <v>168</v>
      </c>
      <c r="C25" t="s">
        <v>169</v>
      </c>
      <c r="D25">
        <v>0.03</v>
      </c>
    </row>
    <row r="26" spans="1:4" x14ac:dyDescent="0.2">
      <c r="A26" t="s">
        <v>300</v>
      </c>
      <c r="B26" t="s">
        <v>168</v>
      </c>
      <c r="C26" t="s">
        <v>176</v>
      </c>
      <c r="D26">
        <v>0.03</v>
      </c>
    </row>
    <row r="27" spans="1:4" x14ac:dyDescent="0.2">
      <c r="A27" t="s">
        <v>300</v>
      </c>
      <c r="B27" t="s">
        <v>168</v>
      </c>
      <c r="C27" t="s">
        <v>183</v>
      </c>
      <c r="D27">
        <v>0.02</v>
      </c>
    </row>
    <row r="28" spans="1:4" x14ac:dyDescent="0.2">
      <c r="A28" t="s">
        <v>300</v>
      </c>
      <c r="B28" t="s">
        <v>168</v>
      </c>
      <c r="C28" t="s">
        <v>190</v>
      </c>
      <c r="D28">
        <v>0.02</v>
      </c>
    </row>
    <row r="29" spans="1:4" x14ac:dyDescent="0.2">
      <c r="A29" t="s">
        <v>300</v>
      </c>
      <c r="B29" t="s">
        <v>197</v>
      </c>
      <c r="C29" t="s">
        <v>198</v>
      </c>
      <c r="D29">
        <v>0.03</v>
      </c>
    </row>
    <row r="30" spans="1:4" x14ac:dyDescent="0.2">
      <c r="A30" t="s">
        <v>300</v>
      </c>
      <c r="B30" t="s">
        <v>197</v>
      </c>
      <c r="C30" t="s">
        <v>205</v>
      </c>
      <c r="D30">
        <v>0.03</v>
      </c>
    </row>
    <row r="31" spans="1:4" x14ac:dyDescent="0.2">
      <c r="A31" t="s">
        <v>300</v>
      </c>
      <c r="B31" t="s">
        <v>197</v>
      </c>
      <c r="C31" t="s">
        <v>212</v>
      </c>
      <c r="D31">
        <v>0.03</v>
      </c>
    </row>
    <row r="32" spans="1:4" x14ac:dyDescent="0.2">
      <c r="A32" t="s">
        <v>300</v>
      </c>
      <c r="B32" t="s">
        <v>197</v>
      </c>
      <c r="C32" t="s">
        <v>219</v>
      </c>
      <c r="D32">
        <v>0.03</v>
      </c>
    </row>
    <row r="33" spans="1:4" x14ac:dyDescent="0.2">
      <c r="A33" t="s">
        <v>300</v>
      </c>
      <c r="B33" t="s">
        <v>226</v>
      </c>
      <c r="C33" t="s">
        <v>227</v>
      </c>
      <c r="D33">
        <v>0.02</v>
      </c>
    </row>
    <row r="34" spans="1:4" x14ac:dyDescent="0.2">
      <c r="A34" t="s">
        <v>300</v>
      </c>
      <c r="B34" t="s">
        <v>226</v>
      </c>
      <c r="C34" t="s">
        <v>234</v>
      </c>
      <c r="D34">
        <v>0.02</v>
      </c>
    </row>
    <row r="35" spans="1:4" x14ac:dyDescent="0.2">
      <c r="A35" t="s">
        <v>300</v>
      </c>
      <c r="B35" t="s">
        <v>226</v>
      </c>
      <c r="C35" t="s">
        <v>241</v>
      </c>
      <c r="D35">
        <v>1.4999999999999999E-2</v>
      </c>
    </row>
    <row r="36" spans="1:4" x14ac:dyDescent="0.2">
      <c r="A36" t="s">
        <v>300</v>
      </c>
      <c r="B36" t="s">
        <v>226</v>
      </c>
      <c r="C36" t="s">
        <v>248</v>
      </c>
      <c r="D36">
        <v>0.01</v>
      </c>
    </row>
    <row r="37" spans="1:4" x14ac:dyDescent="0.2">
      <c r="A37" t="s">
        <v>300</v>
      </c>
      <c r="B37" t="s">
        <v>226</v>
      </c>
      <c r="C37" t="s">
        <v>98</v>
      </c>
      <c r="D37">
        <v>0.01</v>
      </c>
    </row>
    <row r="38" spans="1:4" x14ac:dyDescent="0.2">
      <c r="A38" t="s">
        <v>300</v>
      </c>
      <c r="B38" t="s">
        <v>261</v>
      </c>
      <c r="C38" t="s">
        <v>262</v>
      </c>
      <c r="D38">
        <v>1.4999999999999999E-2</v>
      </c>
    </row>
    <row r="39" spans="1:4" x14ac:dyDescent="0.2">
      <c r="A39" t="s">
        <v>300</v>
      </c>
      <c r="B39" t="s">
        <v>261</v>
      </c>
      <c r="C39" t="s">
        <v>269</v>
      </c>
      <c r="D39">
        <v>1.4999999999999999E-2</v>
      </c>
    </row>
    <row r="40" spans="1:4" x14ac:dyDescent="0.2">
      <c r="A40" t="s">
        <v>300</v>
      </c>
      <c r="B40" t="s">
        <v>261</v>
      </c>
      <c r="C40" t="s">
        <v>276</v>
      </c>
      <c r="D40">
        <v>0.01</v>
      </c>
    </row>
    <row r="41" spans="1:4" x14ac:dyDescent="0.2">
      <c r="A41" t="s">
        <v>300</v>
      </c>
      <c r="B41" t="s">
        <v>261</v>
      </c>
      <c r="C41" t="s">
        <v>283</v>
      </c>
      <c r="D41">
        <v>5.0000000000000001E-3</v>
      </c>
    </row>
    <row r="42" spans="1:4" x14ac:dyDescent="0.2">
      <c r="A42" t="s">
        <v>300</v>
      </c>
      <c r="B42" t="s">
        <v>261</v>
      </c>
      <c r="C42" t="s">
        <v>290</v>
      </c>
      <c r="D42">
        <v>5.0000000000000001E-3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78EF-622F-884A-823D-381D39C0332C}">
  <dimension ref="A1:D42"/>
  <sheetViews>
    <sheetView workbookViewId="0">
      <selection activeCell="A2" sqref="A2:D42"/>
    </sheetView>
  </sheetViews>
  <sheetFormatPr baseColWidth="10" defaultRowHeight="16" x14ac:dyDescent="0.2"/>
  <cols>
    <col min="1" max="1" width="16.5" bestFit="1" customWidth="1"/>
    <col min="2" max="2" width="19.83203125" bestFit="1" customWidth="1"/>
    <col min="3" max="3" width="29.33203125" bestFit="1" customWidth="1"/>
    <col min="4" max="4" width="6.1640625" bestFit="1" customWidth="1"/>
  </cols>
  <sheetData>
    <row r="1" spans="1:4" x14ac:dyDescent="0.2">
      <c r="A1" t="s">
        <v>297</v>
      </c>
      <c r="B1" t="s">
        <v>0</v>
      </c>
      <c r="C1" t="s">
        <v>1</v>
      </c>
      <c r="D1" t="s">
        <v>298</v>
      </c>
    </row>
    <row r="2" spans="1:4" x14ac:dyDescent="0.2">
      <c r="A2" t="s">
        <v>301</v>
      </c>
      <c r="B2" t="s">
        <v>3</v>
      </c>
      <c r="C2" t="s">
        <v>4</v>
      </c>
      <c r="D2">
        <v>0.03</v>
      </c>
    </row>
    <row r="3" spans="1:4" x14ac:dyDescent="0.2">
      <c r="A3" t="s">
        <v>301</v>
      </c>
      <c r="B3" t="s">
        <v>3</v>
      </c>
      <c r="C3" t="s">
        <v>11</v>
      </c>
      <c r="D3">
        <v>3.5000000000000003E-2</v>
      </c>
    </row>
    <row r="4" spans="1:4" x14ac:dyDescent="0.2">
      <c r="A4" t="s">
        <v>301</v>
      </c>
      <c r="B4" t="s">
        <v>3</v>
      </c>
      <c r="C4" t="s">
        <v>18</v>
      </c>
      <c r="D4">
        <v>3.5000000000000003E-2</v>
      </c>
    </row>
    <row r="5" spans="1:4" x14ac:dyDescent="0.2">
      <c r="A5" t="s">
        <v>301</v>
      </c>
      <c r="B5" t="s">
        <v>3</v>
      </c>
      <c r="C5" t="s">
        <v>25</v>
      </c>
      <c r="D5">
        <v>0.03</v>
      </c>
    </row>
    <row r="6" spans="1:4" x14ac:dyDescent="0.2">
      <c r="A6" t="s">
        <v>301</v>
      </c>
      <c r="B6" t="s">
        <v>3</v>
      </c>
      <c r="C6" t="s">
        <v>32</v>
      </c>
      <c r="D6">
        <v>3.5000000000000003E-2</v>
      </c>
    </row>
    <row r="7" spans="1:4" x14ac:dyDescent="0.2">
      <c r="A7" t="s">
        <v>301</v>
      </c>
      <c r="B7" t="s">
        <v>3</v>
      </c>
      <c r="C7" t="s">
        <v>39</v>
      </c>
      <c r="D7">
        <v>3.5000000000000003E-2</v>
      </c>
    </row>
    <row r="8" spans="1:4" x14ac:dyDescent="0.2">
      <c r="A8" t="s">
        <v>301</v>
      </c>
      <c r="B8" t="s">
        <v>46</v>
      </c>
      <c r="C8" t="s">
        <v>47</v>
      </c>
      <c r="D8">
        <v>3.5000000000000003E-2</v>
      </c>
    </row>
    <row r="9" spans="1:4" x14ac:dyDescent="0.2">
      <c r="A9" t="s">
        <v>301</v>
      </c>
      <c r="B9" t="s">
        <v>46</v>
      </c>
      <c r="C9" t="s">
        <v>54</v>
      </c>
      <c r="D9">
        <v>0.03</v>
      </c>
    </row>
    <row r="10" spans="1:4" x14ac:dyDescent="0.2">
      <c r="A10" t="s">
        <v>301</v>
      </c>
      <c r="B10" t="s">
        <v>46</v>
      </c>
      <c r="C10" t="s">
        <v>61</v>
      </c>
      <c r="D10">
        <v>0.04</v>
      </c>
    </row>
    <row r="11" spans="1:4" x14ac:dyDescent="0.2">
      <c r="A11" t="s">
        <v>301</v>
      </c>
      <c r="B11" t="s">
        <v>46</v>
      </c>
      <c r="C11" t="s">
        <v>68</v>
      </c>
      <c r="D11">
        <v>0.04</v>
      </c>
    </row>
    <row r="12" spans="1:4" x14ac:dyDescent="0.2">
      <c r="A12" t="s">
        <v>301</v>
      </c>
      <c r="B12" t="s">
        <v>46</v>
      </c>
      <c r="C12" t="s">
        <v>75</v>
      </c>
      <c r="D12">
        <v>0.03</v>
      </c>
    </row>
    <row r="13" spans="1:4" x14ac:dyDescent="0.2">
      <c r="A13" t="s">
        <v>301</v>
      </c>
      <c r="B13" t="s">
        <v>46</v>
      </c>
      <c r="C13" t="s">
        <v>82</v>
      </c>
      <c r="D13">
        <v>0.03</v>
      </c>
    </row>
    <row r="14" spans="1:4" x14ac:dyDescent="0.2">
      <c r="A14" t="s">
        <v>301</v>
      </c>
      <c r="B14" t="s">
        <v>89</v>
      </c>
      <c r="C14" t="s">
        <v>90</v>
      </c>
      <c r="D14">
        <v>0.04</v>
      </c>
    </row>
    <row r="15" spans="1:4" x14ac:dyDescent="0.2">
      <c r="A15" t="s">
        <v>301</v>
      </c>
      <c r="B15" t="s">
        <v>89</v>
      </c>
      <c r="C15" t="s">
        <v>97</v>
      </c>
      <c r="D15">
        <v>0.03</v>
      </c>
    </row>
    <row r="16" spans="1:4" x14ac:dyDescent="0.2">
      <c r="A16" t="s">
        <v>301</v>
      </c>
      <c r="B16" t="s">
        <v>89</v>
      </c>
      <c r="C16" t="s">
        <v>104</v>
      </c>
      <c r="D16">
        <v>0.03</v>
      </c>
    </row>
    <row r="17" spans="1:4" x14ac:dyDescent="0.2">
      <c r="A17" t="s">
        <v>301</v>
      </c>
      <c r="B17" t="s">
        <v>89</v>
      </c>
      <c r="C17" t="s">
        <v>111</v>
      </c>
      <c r="D17">
        <v>0.02</v>
      </c>
    </row>
    <row r="18" spans="1:4" x14ac:dyDescent="0.2">
      <c r="A18" t="s">
        <v>301</v>
      </c>
      <c r="B18" t="s">
        <v>89</v>
      </c>
      <c r="C18" t="s">
        <v>118</v>
      </c>
      <c r="D18">
        <v>0.02</v>
      </c>
    </row>
    <row r="19" spans="1:4" x14ac:dyDescent="0.2">
      <c r="A19" t="s">
        <v>301</v>
      </c>
      <c r="B19" t="s">
        <v>125</v>
      </c>
      <c r="C19" t="s">
        <v>126</v>
      </c>
      <c r="D19">
        <v>0.03</v>
      </c>
    </row>
    <row r="20" spans="1:4" x14ac:dyDescent="0.2">
      <c r="A20" t="s">
        <v>301</v>
      </c>
      <c r="B20" t="s">
        <v>125</v>
      </c>
      <c r="C20" t="s">
        <v>133</v>
      </c>
      <c r="D20">
        <v>3.5000000000000003E-2</v>
      </c>
    </row>
    <row r="21" spans="1:4" x14ac:dyDescent="0.2">
      <c r="A21" t="s">
        <v>301</v>
      </c>
      <c r="B21" t="s">
        <v>125</v>
      </c>
      <c r="C21" t="s">
        <v>140</v>
      </c>
      <c r="D21">
        <v>3.5000000000000003E-2</v>
      </c>
    </row>
    <row r="22" spans="1:4" x14ac:dyDescent="0.2">
      <c r="A22" t="s">
        <v>301</v>
      </c>
      <c r="B22" t="s">
        <v>125</v>
      </c>
      <c r="C22" t="s">
        <v>147</v>
      </c>
      <c r="D22">
        <v>3.5000000000000003E-2</v>
      </c>
    </row>
    <row r="23" spans="1:4" x14ac:dyDescent="0.2">
      <c r="A23" t="s">
        <v>301</v>
      </c>
      <c r="B23" t="s">
        <v>125</v>
      </c>
      <c r="C23" t="s">
        <v>154</v>
      </c>
      <c r="D23">
        <v>2.5000000000000001E-2</v>
      </c>
    </row>
    <row r="24" spans="1:4" x14ac:dyDescent="0.2">
      <c r="A24" t="s">
        <v>301</v>
      </c>
      <c r="B24" t="s">
        <v>125</v>
      </c>
      <c r="C24" t="s">
        <v>161</v>
      </c>
      <c r="D24">
        <v>0.02</v>
      </c>
    </row>
    <row r="25" spans="1:4" x14ac:dyDescent="0.2">
      <c r="A25" t="s">
        <v>301</v>
      </c>
      <c r="B25" t="s">
        <v>168</v>
      </c>
      <c r="C25" t="s">
        <v>169</v>
      </c>
      <c r="D25">
        <v>0.03</v>
      </c>
    </row>
    <row r="26" spans="1:4" x14ac:dyDescent="0.2">
      <c r="A26" t="s">
        <v>301</v>
      </c>
      <c r="B26" t="s">
        <v>168</v>
      </c>
      <c r="C26" t="s">
        <v>176</v>
      </c>
      <c r="D26">
        <v>0.03</v>
      </c>
    </row>
    <row r="27" spans="1:4" x14ac:dyDescent="0.2">
      <c r="A27" t="s">
        <v>301</v>
      </c>
      <c r="B27" t="s">
        <v>168</v>
      </c>
      <c r="C27" t="s">
        <v>183</v>
      </c>
      <c r="D27">
        <v>0.02</v>
      </c>
    </row>
    <row r="28" spans="1:4" x14ac:dyDescent="0.2">
      <c r="A28" t="s">
        <v>301</v>
      </c>
      <c r="B28" t="s">
        <v>168</v>
      </c>
      <c r="C28" t="s">
        <v>190</v>
      </c>
      <c r="D28">
        <v>0.02</v>
      </c>
    </row>
    <row r="29" spans="1:4" x14ac:dyDescent="0.2">
      <c r="A29" t="s">
        <v>301</v>
      </c>
      <c r="B29" t="s">
        <v>197</v>
      </c>
      <c r="C29" t="s">
        <v>198</v>
      </c>
      <c r="D29">
        <v>2.5000000000000001E-2</v>
      </c>
    </row>
    <row r="30" spans="1:4" x14ac:dyDescent="0.2">
      <c r="A30" t="s">
        <v>301</v>
      </c>
      <c r="B30" t="s">
        <v>197</v>
      </c>
      <c r="C30" t="s">
        <v>205</v>
      </c>
      <c r="D30">
        <v>2.5000000000000001E-2</v>
      </c>
    </row>
    <row r="31" spans="1:4" x14ac:dyDescent="0.2">
      <c r="A31" t="s">
        <v>301</v>
      </c>
      <c r="B31" t="s">
        <v>197</v>
      </c>
      <c r="C31" t="s">
        <v>212</v>
      </c>
      <c r="D31">
        <v>1.4999999999999999E-2</v>
      </c>
    </row>
    <row r="32" spans="1:4" x14ac:dyDescent="0.2">
      <c r="A32" t="s">
        <v>301</v>
      </c>
      <c r="B32" t="s">
        <v>197</v>
      </c>
      <c r="C32" t="s">
        <v>219</v>
      </c>
      <c r="D32">
        <v>1.4999999999999999E-2</v>
      </c>
    </row>
    <row r="33" spans="1:4" x14ac:dyDescent="0.2">
      <c r="A33" t="s">
        <v>301</v>
      </c>
      <c r="B33" t="s">
        <v>226</v>
      </c>
      <c r="C33" t="s">
        <v>227</v>
      </c>
      <c r="D33">
        <v>0.02</v>
      </c>
    </row>
    <row r="34" spans="1:4" x14ac:dyDescent="0.2">
      <c r="A34" t="s">
        <v>301</v>
      </c>
      <c r="B34" t="s">
        <v>226</v>
      </c>
      <c r="C34" t="s">
        <v>234</v>
      </c>
      <c r="D34">
        <v>0.02</v>
      </c>
    </row>
    <row r="35" spans="1:4" x14ac:dyDescent="0.2">
      <c r="A35" t="s">
        <v>301</v>
      </c>
      <c r="B35" t="s">
        <v>226</v>
      </c>
      <c r="C35" t="s">
        <v>241</v>
      </c>
      <c r="D35">
        <v>1.4999999999999999E-2</v>
      </c>
    </row>
    <row r="36" spans="1:4" x14ac:dyDescent="0.2">
      <c r="A36" t="s">
        <v>301</v>
      </c>
      <c r="B36" t="s">
        <v>226</v>
      </c>
      <c r="C36" t="s">
        <v>248</v>
      </c>
      <c r="D36">
        <v>0.01</v>
      </c>
    </row>
    <row r="37" spans="1:4" x14ac:dyDescent="0.2">
      <c r="A37" t="s">
        <v>301</v>
      </c>
      <c r="B37" t="s">
        <v>226</v>
      </c>
      <c r="C37" t="s">
        <v>98</v>
      </c>
      <c r="D37">
        <v>0.01</v>
      </c>
    </row>
    <row r="38" spans="1:4" x14ac:dyDescent="0.2">
      <c r="A38" t="s">
        <v>301</v>
      </c>
      <c r="B38" t="s">
        <v>261</v>
      </c>
      <c r="C38" t="s">
        <v>262</v>
      </c>
      <c r="D38">
        <v>0.01</v>
      </c>
    </row>
    <row r="39" spans="1:4" x14ac:dyDescent="0.2">
      <c r="A39" t="s">
        <v>301</v>
      </c>
      <c r="B39" t="s">
        <v>261</v>
      </c>
      <c r="C39" t="s">
        <v>269</v>
      </c>
      <c r="D39">
        <v>0.01</v>
      </c>
    </row>
    <row r="40" spans="1:4" x14ac:dyDescent="0.2">
      <c r="A40" t="s">
        <v>301</v>
      </c>
      <c r="B40" t="s">
        <v>261</v>
      </c>
      <c r="C40" t="s">
        <v>276</v>
      </c>
      <c r="D40">
        <v>5.0000000000000001E-3</v>
      </c>
    </row>
    <row r="41" spans="1:4" x14ac:dyDescent="0.2">
      <c r="A41" t="s">
        <v>301</v>
      </c>
      <c r="B41" t="s">
        <v>261</v>
      </c>
      <c r="C41" t="s">
        <v>283</v>
      </c>
      <c r="D41">
        <v>2E-3</v>
      </c>
    </row>
    <row r="42" spans="1:4" x14ac:dyDescent="0.2">
      <c r="A42" t="s">
        <v>301</v>
      </c>
      <c r="B42" t="s">
        <v>261</v>
      </c>
      <c r="C42" t="s">
        <v>290</v>
      </c>
      <c r="D42">
        <v>3.0000000000000001E-3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475F5F56ADD4F8AAF926B26EB96D6" ma:contentTypeVersion="11" ma:contentTypeDescription="Crie um novo documento." ma:contentTypeScope="" ma:versionID="58fd2c75159ade7f4b3a94b0fd7a4212">
  <xsd:schema xmlns:xsd="http://www.w3.org/2001/XMLSchema" xmlns:xs="http://www.w3.org/2001/XMLSchema" xmlns:p="http://schemas.microsoft.com/office/2006/metadata/properties" xmlns:ns2="17d2b550-d2af-4f44-ba03-6c4a8124584a" xmlns:ns3="7cb7473c-802b-4398-869f-209e75118aef" targetNamespace="http://schemas.microsoft.com/office/2006/metadata/properties" ma:root="true" ma:fieldsID="900af4543fa8bf8944e66c0ea866a2ea" ns2:_="" ns3:_="">
    <xsd:import namespace="17d2b550-d2af-4f44-ba03-6c4a8124584a"/>
    <xsd:import namespace="7cb7473c-802b-4398-869f-209e75118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2b550-d2af-4f44-ba03-6c4a812458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214b24-409b-4a72-823e-ab07043f8a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7473c-802b-4398-869f-209e75118a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c1acba-94f0-4885-bf18-2c11e031fac8}" ma:internalName="TaxCatchAll" ma:showField="CatchAllData" ma:web="7cb7473c-802b-4398-869f-209e75118a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b7473c-802b-4398-869f-209e75118aef" xsi:nil="true"/>
    <lcf76f155ced4ddcb4097134ff3c332f xmlns="17d2b550-d2af-4f44-ba03-6c4a8124584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61F03F-D995-4AC4-9EE3-361461CAD2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2b550-d2af-4f44-ba03-6c4a8124584a"/>
    <ds:schemaRef ds:uri="7cb7473c-802b-4398-869f-209e75118a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0DCEB8-62D0-4153-A82C-39BBC411A71F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cb7473c-802b-4398-869f-209e75118aef"/>
    <ds:schemaRef ds:uri="17d2b550-d2af-4f44-ba03-6c4a8124584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B16AF06-F6B5-4552-85FC-ABB58A22B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Base</vt:lpstr>
      <vt:lpstr>Rate Geral</vt:lpstr>
      <vt:lpstr>Distribuidor</vt:lpstr>
      <vt:lpstr>Industria</vt:lpstr>
      <vt:lpstr>OperadorLogistico</vt:lpstr>
      <vt:lpstr>Distribuidor!Area_de_impressao</vt:lpstr>
      <vt:lpstr>'Rate Geral'!Area_de_impressao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Malta</dc:creator>
  <cp:lastModifiedBy>Manoel Malta</cp:lastModifiedBy>
  <cp:lastPrinted>2026-02-06T05:24:58Z</cp:lastPrinted>
  <dcterms:created xsi:type="dcterms:W3CDTF">2025-12-29T21:40:48Z</dcterms:created>
  <dcterms:modified xsi:type="dcterms:W3CDTF">2026-04-26T16:03:16Z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0x01010085F475F5F56ADD4F8AAF926B26EB96D6</vt:lpwstr>
  </property>
  <property fmtid="{D5CDD505-2E9C-101B-9397-08002B2CF9AE}" pid="3" name="MediaServiceImageTags">
    <vt:lpwstr/>
  </property>
</Properties>
</file>